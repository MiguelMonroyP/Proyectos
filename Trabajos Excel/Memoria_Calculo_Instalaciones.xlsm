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tmp" ContentType="image/png"/>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hartsheets/sheet1.xml" ContentType="application/vnd.openxmlformats-officedocument.spreadsheetml.chartsheet+xml"/>
  <Override PartName="/xl/chartsheets/sheet2.xml" ContentType="application/vnd.openxmlformats-officedocument.spreadsheetml.chart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xml"/>
  <Override PartName="/xl/charts/chart4.xml" ContentType="application/vnd.openxmlformats-officedocument.drawingml.chart+xml"/>
  <Override PartName="/xl/theme/themeOverride1.xml" ContentType="application/vnd.openxmlformats-officedocument.themeOverride+xml"/>
  <Override PartName="/xl/drawings/drawing5.xml" ContentType="application/vnd.openxmlformats-officedocument.drawing+xml"/>
  <Override PartName="/xl/charts/chart5.xml" ContentType="application/vnd.openxmlformats-officedocument.drawingml.chart+xml"/>
  <Override PartName="/xl/theme/themeOverride2.xml" ContentType="application/vnd.openxmlformats-officedocument.themeOverride+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726" codeName="{1BF75E64-36B4-4512-B9E4-3ED0869CA821}"/>
  <workbookPr codeName="ThisWorkbook"/>
  <mc:AlternateContent xmlns:mc="http://schemas.openxmlformats.org/markup-compatibility/2006">
    <mc:Choice Requires="x15">
      <x15ac:absPath xmlns:x15ac="http://schemas.microsoft.com/office/spreadsheetml/2010/11/ac" url="C:\Users\Usuario\Downloads\"/>
    </mc:Choice>
  </mc:AlternateContent>
  <xr:revisionPtr revIDLastSave="0" documentId="13_ncr:1_{6A69F3B6-4339-4D31-93A4-63E390CE7B3B}" xr6:coauthVersionLast="47" xr6:coauthVersionMax="47" xr10:uidLastSave="{00000000-0000-0000-0000-000000000000}"/>
  <bookViews>
    <workbookView xWindow="-120" yWindow="-120" windowWidth="20730" windowHeight="11160" firstSheet="1" activeTab="1" xr2:uid="{00000000-000D-0000-FFFF-FFFF00000000}"/>
  </bookViews>
  <sheets>
    <sheet name="Hoja1" sheetId="1" state="hidden" r:id="rId1"/>
    <sheet name="Cuadro De Cargas" sheetId="2" r:id="rId2"/>
    <sheet name="Calibre-Ductos" sheetId="3" state="hidden" r:id="rId3"/>
    <sheet name="Cargas Nominales y Totales" sheetId="4" r:id="rId4"/>
    <sheet name="Distancia Min. de fuga" sheetId="8" state="hidden" r:id="rId5"/>
    <sheet name="Fusible Dual" sheetId="20" state="hidden" r:id="rId6"/>
    <sheet name="Fusible VS" sheetId="21" state="hidden" r:id="rId7"/>
    <sheet name="Fusible T" sheetId="24" state="hidden" r:id="rId8"/>
    <sheet name="Fusible K" sheetId="25" state="hidden" r:id="rId9"/>
    <sheet name="Fusible H" sheetId="26" state="hidden" r:id="rId10"/>
    <sheet name="FUSIBLES" sheetId="18" r:id="rId11"/>
    <sheet name="Fusibles Car." sheetId="19" state="hidden" r:id="rId12"/>
    <sheet name="Diversificada" sheetId="5" state="hidden" r:id="rId13"/>
    <sheet name="Rayos" sheetId="6" r:id="rId14"/>
    <sheet name="Factores de Riesgo" sheetId="9" r:id="rId15"/>
    <sheet name="Riesgos" sheetId="10" state="hidden" r:id="rId16"/>
    <sheet name="Mallas Cuadradas o Rectangulare" sheetId="13" r:id="rId17"/>
    <sheet name="Proteccion de cables" sheetId="27" state="hidden" r:id="rId18"/>
    <sheet name="Calculo economico" sheetId="22" r:id="rId19"/>
    <sheet name="Hoja6" sheetId="16" state="hidden" r:id="rId20"/>
    <sheet name="Rayos Calculo" sheetId="7" state="hidden" r:id="rId21"/>
  </sheets>
  <externalReferences>
    <externalReference r:id="rId22"/>
  </externalReferences>
  <definedNames>
    <definedName name="a">#REF!</definedName>
    <definedName name="alfa">#REF!</definedName>
    <definedName name="cs">'[1]1M'!$E$51</definedName>
    <definedName name="L">#REF!</definedName>
    <definedName name="lr">'[1]1M'!$I$17</definedName>
    <definedName name="lrr">'Mallas Cuadradas o Rectangulare'!$K$16</definedName>
    <definedName name="lx">'[1]1M'!$E$14</definedName>
    <definedName name="ly">'[1]1M'!$E$15</definedName>
    <definedName name="ps">'[1]1M'!$E$9</definedName>
    <definedName name="S">'[1]1M'!$I$15</definedName>
    <definedName name="ts">'[1]1M'!$E$26</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J4" i="27" l="1"/>
  <c r="L4" i="27" s="1"/>
  <c r="J5" i="27"/>
  <c r="L5" i="27" s="1"/>
  <c r="J6" i="27"/>
  <c r="J7" i="27"/>
  <c r="J8" i="27"/>
  <c r="L8" i="27" s="1"/>
  <c r="J9" i="27"/>
  <c r="L9" i="27" s="1"/>
  <c r="J10" i="27"/>
  <c r="L10" i="27" s="1"/>
  <c r="J11" i="27"/>
  <c r="J12" i="27"/>
  <c r="L12" i="27" s="1"/>
  <c r="J13" i="27"/>
  <c r="L13" i="27" s="1"/>
  <c r="J3" i="27"/>
  <c r="L6" i="27"/>
  <c r="L7" i="27"/>
  <c r="L11" i="27"/>
  <c r="L3" i="27"/>
  <c r="E4" i="27" l="1"/>
  <c r="E5" i="27"/>
  <c r="E6" i="27"/>
  <c r="E7" i="27"/>
  <c r="E8" i="27"/>
  <c r="E9" i="27"/>
  <c r="E10" i="27"/>
  <c r="E11" i="27"/>
  <c r="E12" i="27"/>
  <c r="E13" i="27"/>
  <c r="E3" i="27"/>
  <c r="C3" i="18" l="1"/>
  <c r="AH14" i="18"/>
  <c r="AH15" i="18"/>
  <c r="AH16" i="18"/>
  <c r="AH17" i="18"/>
  <c r="AH18" i="18"/>
  <c r="AH19" i="18"/>
  <c r="AH20" i="18"/>
  <c r="AH21" i="18"/>
  <c r="AH22" i="18"/>
  <c r="AH23" i="18"/>
  <c r="AH24" i="18"/>
  <c r="AH25" i="18"/>
  <c r="AH26" i="18"/>
  <c r="AH27" i="18"/>
  <c r="AH28" i="18"/>
  <c r="AH29" i="18"/>
  <c r="AH13" i="18"/>
  <c r="AB14" i="18"/>
  <c r="AB15" i="18"/>
  <c r="AB16" i="18"/>
  <c r="AB17" i="18"/>
  <c r="AB18" i="18"/>
  <c r="AB19" i="18"/>
  <c r="AB20" i="18"/>
  <c r="AB21" i="18"/>
  <c r="AB22" i="18"/>
  <c r="AB23" i="18"/>
  <c r="AB24" i="18"/>
  <c r="AB25" i="18"/>
  <c r="AB26" i="18"/>
  <c r="AB27" i="18"/>
  <c r="AB28" i="18"/>
  <c r="AB29" i="18"/>
  <c r="AB13" i="18"/>
  <c r="W29" i="18"/>
  <c r="W28" i="18"/>
  <c r="W27" i="18"/>
  <c r="W26" i="18"/>
  <c r="W25" i="18"/>
  <c r="W24" i="18"/>
  <c r="W23" i="18"/>
  <c r="W22" i="18"/>
  <c r="W21" i="18"/>
  <c r="W20" i="18"/>
  <c r="W19" i="18"/>
  <c r="W18" i="18"/>
  <c r="W17" i="18"/>
  <c r="W16" i="18"/>
  <c r="W15" i="18"/>
  <c r="W14" i="18"/>
  <c r="AJ14" i="18"/>
  <c r="AJ15" i="18"/>
  <c r="AJ16" i="18"/>
  <c r="AJ17" i="18"/>
  <c r="AJ18" i="18"/>
  <c r="AJ19" i="18"/>
  <c r="AJ20" i="18"/>
  <c r="AJ21" i="18"/>
  <c r="AJ22" i="18"/>
  <c r="AJ23" i="18"/>
  <c r="AJ24" i="18"/>
  <c r="AJ25" i="18"/>
  <c r="AJ26" i="18"/>
  <c r="AJ27" i="18"/>
  <c r="AJ28" i="18"/>
  <c r="AJ13" i="18"/>
  <c r="AD14" i="18"/>
  <c r="AD15" i="18"/>
  <c r="AD16" i="18"/>
  <c r="AD17" i="18"/>
  <c r="AD18" i="18"/>
  <c r="AD19" i="18"/>
  <c r="AD20" i="18"/>
  <c r="AD21" i="18"/>
  <c r="AD22" i="18"/>
  <c r="AD23" i="18"/>
  <c r="AD24" i="18"/>
  <c r="AD25" i="18"/>
  <c r="AD26" i="18"/>
  <c r="AD27" i="18"/>
  <c r="AD28" i="18"/>
  <c r="AD29" i="18"/>
  <c r="AD13" i="18"/>
  <c r="Y14" i="18"/>
  <c r="Y15" i="18"/>
  <c r="Y16" i="18"/>
  <c r="Y17" i="18"/>
  <c r="Y18" i="18"/>
  <c r="Y19" i="18"/>
  <c r="Y20" i="18"/>
  <c r="Y21" i="18"/>
  <c r="Y22" i="18"/>
  <c r="Y23" i="18"/>
  <c r="Y24" i="18"/>
  <c r="Y25" i="18"/>
  <c r="Y26" i="18"/>
  <c r="Y27" i="18"/>
  <c r="Y28" i="18"/>
  <c r="Y29" i="18"/>
  <c r="Y13" i="18"/>
  <c r="W13" i="18"/>
  <c r="S14" i="18"/>
  <c r="S15" i="18"/>
  <c r="S16" i="18"/>
  <c r="S17" i="18"/>
  <c r="S18" i="18"/>
  <c r="S19" i="18"/>
  <c r="S20" i="18"/>
  <c r="S21" i="18"/>
  <c r="S22" i="18"/>
  <c r="S23" i="18"/>
  <c r="S24" i="18"/>
  <c r="S25" i="18"/>
  <c r="S26" i="18"/>
  <c r="S27" i="18"/>
  <c r="S28" i="18"/>
  <c r="S29" i="18"/>
  <c r="S13" i="18"/>
  <c r="M17" i="4" l="1"/>
  <c r="M15" i="4"/>
  <c r="L10" i="22"/>
  <c r="L17" i="22"/>
  <c r="L18" i="22"/>
  <c r="L25" i="22"/>
  <c r="L26" i="22"/>
  <c r="K10" i="22"/>
  <c r="K11" i="22"/>
  <c r="K12" i="22"/>
  <c r="K13" i="22"/>
  <c r="K14" i="22"/>
  <c r="K15" i="22"/>
  <c r="K16" i="22"/>
  <c r="K17" i="22"/>
  <c r="K18" i="22"/>
  <c r="K19" i="22"/>
  <c r="K20" i="22"/>
  <c r="K21" i="22"/>
  <c r="K22" i="22"/>
  <c r="K23" i="22"/>
  <c r="K24" i="22"/>
  <c r="K25" i="22"/>
  <c r="K26" i="22"/>
  <c r="K27" i="22"/>
  <c r="K28" i="22"/>
  <c r="K29" i="22"/>
  <c r="K30" i="22"/>
  <c r="K31" i="22" s="1"/>
  <c r="J10" i="22"/>
  <c r="J11" i="22"/>
  <c r="L11" i="22" s="1"/>
  <c r="J12" i="22"/>
  <c r="L12" i="22" s="1"/>
  <c r="J13" i="22"/>
  <c r="L13" i="22" s="1"/>
  <c r="J14" i="22"/>
  <c r="L14" i="22" s="1"/>
  <c r="J15" i="22"/>
  <c r="L15" i="22" s="1"/>
  <c r="J16" i="22"/>
  <c r="L16" i="22" s="1"/>
  <c r="J17" i="22"/>
  <c r="J18" i="22"/>
  <c r="J19" i="22"/>
  <c r="L19" i="22" s="1"/>
  <c r="J20" i="22"/>
  <c r="L20" i="22" s="1"/>
  <c r="J21" i="22"/>
  <c r="L21" i="22" s="1"/>
  <c r="J22" i="22"/>
  <c r="L22" i="22" s="1"/>
  <c r="J23" i="22"/>
  <c r="L23" i="22" s="1"/>
  <c r="J24" i="22"/>
  <c r="L24" i="22" s="1"/>
  <c r="J25" i="22"/>
  <c r="J26" i="22"/>
  <c r="J27" i="22"/>
  <c r="L27" i="22" s="1"/>
  <c r="J28" i="22"/>
  <c r="J29" i="22"/>
  <c r="J30" i="22"/>
  <c r="I10" i="22"/>
  <c r="I11" i="22"/>
  <c r="I12" i="22"/>
  <c r="I13" i="22"/>
  <c r="I14" i="22"/>
  <c r="I15" i="22"/>
  <c r="I16" i="22"/>
  <c r="I17" i="22"/>
  <c r="I18" i="22"/>
  <c r="I19" i="22"/>
  <c r="I20" i="22"/>
  <c r="I21" i="22"/>
  <c r="I22" i="22"/>
  <c r="I23" i="22"/>
  <c r="I24" i="22"/>
  <c r="I25" i="22"/>
  <c r="I26" i="22"/>
  <c r="I27" i="22"/>
  <c r="I28" i="22"/>
  <c r="I29" i="22"/>
  <c r="H10" i="22"/>
  <c r="H30" i="22" s="1"/>
  <c r="H11" i="22"/>
  <c r="H12" i="22"/>
  <c r="H13" i="22"/>
  <c r="H14" i="22"/>
  <c r="H15" i="22"/>
  <c r="H16" i="22"/>
  <c r="H17" i="22"/>
  <c r="H18" i="22"/>
  <c r="H19" i="22"/>
  <c r="H20" i="22"/>
  <c r="H21" i="22"/>
  <c r="H22" i="22"/>
  <c r="H23" i="22"/>
  <c r="H24" i="22"/>
  <c r="H25" i="22"/>
  <c r="H26" i="22"/>
  <c r="H27" i="22"/>
  <c r="H28" i="22"/>
  <c r="H29" i="22"/>
  <c r="K9" i="22"/>
  <c r="J9" i="22"/>
  <c r="L9" i="22" s="1"/>
  <c r="I9" i="22"/>
  <c r="I30" i="22" s="1"/>
  <c r="I31" i="22" s="1"/>
  <c r="H9" i="22"/>
  <c r="G10" i="22"/>
  <c r="G11" i="22"/>
  <c r="G12" i="22"/>
  <c r="G13" i="22"/>
  <c r="G14" i="22"/>
  <c r="G15" i="22"/>
  <c r="G16" i="22"/>
  <c r="G17" i="22"/>
  <c r="G18" i="22"/>
  <c r="G19" i="22"/>
  <c r="G20" i="22"/>
  <c r="G21" i="22"/>
  <c r="G22" i="22"/>
  <c r="G23" i="22"/>
  <c r="G24" i="22"/>
  <c r="G25" i="22"/>
  <c r="G26" i="22"/>
  <c r="G27" i="22"/>
  <c r="G28" i="22"/>
  <c r="G29" i="22"/>
  <c r="G9" i="22"/>
  <c r="F29" i="22"/>
  <c r="F28" i="22"/>
  <c r="F27" i="22"/>
  <c r="F26" i="22"/>
  <c r="F25" i="22"/>
  <c r="F24" i="22"/>
  <c r="F23" i="22"/>
  <c r="F22" i="22"/>
  <c r="F21" i="22"/>
  <c r="F20" i="22"/>
  <c r="F19" i="22"/>
  <c r="F18" i="22"/>
  <c r="F17" i="22"/>
  <c r="F16" i="22"/>
  <c r="F15" i="22"/>
  <c r="F14" i="22"/>
  <c r="F13" i="22"/>
  <c r="F12" i="22"/>
  <c r="F11" i="22"/>
  <c r="F10" i="22"/>
  <c r="F9" i="22"/>
  <c r="F8" i="22"/>
  <c r="G30" i="22" l="1"/>
  <c r="F30" i="22"/>
  <c r="G32" i="22"/>
  <c r="G31" i="22"/>
  <c r="F32" i="22"/>
  <c r="F31" i="22"/>
  <c r="H32" i="22"/>
  <c r="H31" i="22"/>
  <c r="J32" i="22"/>
  <c r="J31" i="22"/>
  <c r="Q29" i="18"/>
  <c r="Q28" i="18"/>
  <c r="Q27" i="18"/>
  <c r="Q26" i="18"/>
  <c r="Q25" i="18"/>
  <c r="Q24" i="18"/>
  <c r="Q23" i="18"/>
  <c r="Q22" i="18"/>
  <c r="Q21" i="18"/>
  <c r="Q20" i="18"/>
  <c r="Q19" i="18"/>
  <c r="Q18" i="18"/>
  <c r="Q17" i="18"/>
  <c r="Q16" i="18"/>
  <c r="Q15" i="18"/>
  <c r="Q14" i="18"/>
  <c r="Q13" i="18"/>
  <c r="P9" i="18"/>
  <c r="P8" i="18"/>
  <c r="P7" i="18"/>
  <c r="P6" i="18"/>
  <c r="P5" i="18"/>
  <c r="K29" i="18"/>
  <c r="K28" i="18"/>
  <c r="K27" i="18"/>
  <c r="K26" i="18"/>
  <c r="K25" i="18"/>
  <c r="K24" i="18"/>
  <c r="K23" i="18"/>
  <c r="K22" i="18"/>
  <c r="K21" i="18"/>
  <c r="K20" i="18"/>
  <c r="K19" i="18"/>
  <c r="K18" i="18"/>
  <c r="K17" i="18"/>
  <c r="K16" i="18"/>
  <c r="K14" i="18"/>
  <c r="K15" i="18"/>
  <c r="K13" i="18"/>
  <c r="I29" i="18"/>
  <c r="I28" i="18"/>
  <c r="I27" i="18"/>
  <c r="I26" i="18"/>
  <c r="I25" i="18"/>
  <c r="I24" i="18"/>
  <c r="I23" i="18"/>
  <c r="I22" i="18"/>
  <c r="I21" i="18"/>
  <c r="I20" i="18"/>
  <c r="I19" i="18"/>
  <c r="I18" i="18"/>
  <c r="I17" i="18"/>
  <c r="I16" i="18"/>
  <c r="I15" i="18"/>
  <c r="I14" i="18"/>
  <c r="I13" i="18"/>
  <c r="Q133" i="19" l="1"/>
  <c r="P133" i="19"/>
  <c r="O133" i="19"/>
  <c r="N133" i="19"/>
  <c r="M133" i="19"/>
  <c r="L133" i="19"/>
  <c r="K133" i="19"/>
  <c r="J133" i="19"/>
  <c r="I133" i="19"/>
  <c r="H133" i="19"/>
  <c r="G133" i="19"/>
  <c r="F133" i="19"/>
  <c r="E133" i="19"/>
  <c r="D133" i="19"/>
  <c r="AJ29" i="18" s="1"/>
  <c r="C133" i="19"/>
  <c r="B133" i="19"/>
  <c r="N6" i="18" l="1"/>
  <c r="N8" i="18"/>
  <c r="N10" i="18"/>
  <c r="N11" i="18"/>
  <c r="I4" i="18"/>
  <c r="N5" i="18"/>
  <c r="N7" i="18"/>
  <c r="N9" i="18"/>
  <c r="M7" i="4"/>
  <c r="M18" i="4" s="1"/>
  <c r="M19" i="4" s="1"/>
  <c r="M8" i="4" l="1"/>
  <c r="M9" i="4"/>
  <c r="T7" i="18"/>
  <c r="T5" i="18"/>
  <c r="Q8" i="18"/>
  <c r="Q6" i="18"/>
  <c r="I5" i="18"/>
  <c r="I6" i="18" s="1"/>
  <c r="I7" i="18" s="1"/>
  <c r="I8" i="18" s="1"/>
  <c r="I9" i="18" s="1"/>
  <c r="T8" i="18"/>
  <c r="T6" i="18"/>
  <c r="Q9" i="18"/>
  <c r="Q7" i="18"/>
  <c r="Q5" i="18"/>
  <c r="F26" i="2"/>
  <c r="F23" i="2"/>
  <c r="F24" i="2"/>
  <c r="F25" i="2"/>
  <c r="E23" i="2"/>
  <c r="E24" i="2"/>
  <c r="E25" i="2"/>
  <c r="E28" i="2"/>
  <c r="F28" i="2" s="1"/>
  <c r="E29" i="2"/>
  <c r="F29" i="2" s="1"/>
  <c r="E30" i="2"/>
  <c r="F30" i="2" s="1"/>
  <c r="E31" i="2"/>
  <c r="F31" i="2" s="1"/>
  <c r="F11" i="2"/>
  <c r="E6" i="2"/>
  <c r="F6" i="2" s="1"/>
  <c r="E7" i="2"/>
  <c r="F7" i="2" s="1"/>
  <c r="E8" i="2"/>
  <c r="F8" i="2" s="1"/>
  <c r="F9" i="2"/>
  <c r="E10" i="2"/>
  <c r="F10" i="2" s="1"/>
  <c r="E11" i="2"/>
  <c r="E12" i="2"/>
  <c r="F12" i="2" s="1"/>
  <c r="E13" i="2"/>
  <c r="F13" i="2" s="1"/>
  <c r="E14" i="2"/>
  <c r="F14" i="2" s="1"/>
  <c r="E5" i="2"/>
  <c r="E22" i="2"/>
  <c r="M14" i="22" l="1"/>
  <c r="M22" i="22"/>
  <c r="M15" i="22"/>
  <c r="M23" i="22"/>
  <c r="M9" i="22"/>
  <c r="M13" i="22"/>
  <c r="M16" i="22"/>
  <c r="M24" i="22"/>
  <c r="M20" i="22"/>
  <c r="M17" i="22"/>
  <c r="M25" i="22"/>
  <c r="M21" i="22"/>
  <c r="M10" i="22"/>
  <c r="M18" i="22"/>
  <c r="M26" i="22"/>
  <c r="M12" i="22"/>
  <c r="M11" i="22"/>
  <c r="M19" i="22"/>
  <c r="M27" i="22"/>
  <c r="I19" i="6"/>
  <c r="I20" i="6"/>
  <c r="I5" i="4"/>
  <c r="I6" i="4"/>
  <c r="I4" i="4"/>
  <c r="I9" i="4" l="1"/>
  <c r="F12" i="13"/>
  <c r="E87" i="13"/>
  <c r="E58" i="13"/>
  <c r="F26" i="13"/>
  <c r="E57" i="13" l="1"/>
  <c r="I19" i="13" l="1"/>
  <c r="E83" i="13"/>
  <c r="BX82" i="13"/>
  <c r="AI83" i="13"/>
  <c r="AI85" i="13" s="1"/>
  <c r="C3" i="16"/>
  <c r="C2" i="16" l="1"/>
  <c r="E67" i="13" s="1"/>
  <c r="B2" i="16"/>
  <c r="E63" i="13" s="1"/>
  <c r="B3" i="16"/>
  <c r="E51" i="13" l="1"/>
  <c r="E49" i="13"/>
  <c r="E47" i="13"/>
  <c r="E46" i="13"/>
  <c r="E45" i="13"/>
  <c r="E44" i="13"/>
  <c r="E43" i="13"/>
  <c r="E42" i="13"/>
  <c r="AO12" i="13" l="1"/>
  <c r="AO10" i="13"/>
  <c r="AO11" i="13"/>
  <c r="AO9" i="13"/>
  <c r="AO6" i="13"/>
  <c r="AO7" i="13"/>
  <c r="AQ8" i="13" s="1"/>
  <c r="AO8" i="13"/>
  <c r="AQ9" i="13" s="1"/>
  <c r="AO5" i="13"/>
  <c r="AH69" i="13"/>
  <c r="AP6" i="13" l="1"/>
  <c r="AO14" i="13" s="1"/>
  <c r="AQ7" i="13"/>
  <c r="AT9" i="13" s="1"/>
  <c r="F23" i="13"/>
  <c r="F22" i="13"/>
  <c r="F19" i="13"/>
  <c r="E13" i="16" s="1"/>
  <c r="F24" i="13" l="1"/>
  <c r="AT8" i="13"/>
  <c r="M21" i="6"/>
  <c r="M20" i="6"/>
  <c r="M19" i="6"/>
  <c r="N18" i="6"/>
  <c r="H3" i="9"/>
  <c r="I25" i="13" l="1"/>
  <c r="E85" i="13"/>
  <c r="E94" i="13" s="1"/>
  <c r="E71" i="13"/>
  <c r="BX83" i="13" s="1"/>
  <c r="BX85" i="13" s="1"/>
  <c r="AI86" i="13" s="1"/>
  <c r="D13" i="16"/>
  <c r="D9" i="16" s="1"/>
  <c r="AH15" i="13"/>
  <c r="E34" i="13" s="1"/>
  <c r="B14" i="16"/>
  <c r="I24" i="13" s="1"/>
  <c r="B13" i="16"/>
  <c r="M22" i="6"/>
  <c r="E84" i="13" l="1"/>
  <c r="E86" i="13"/>
  <c r="E52" i="13"/>
  <c r="AI82" i="13"/>
  <c r="E53" i="13"/>
  <c r="E54" i="13" s="1"/>
  <c r="E55" i="13" s="1"/>
  <c r="AI88" i="13"/>
  <c r="E75" i="13" s="1"/>
  <c r="C13" i="16"/>
  <c r="H56" i="9"/>
  <c r="I56" i="9" s="1"/>
  <c r="H55" i="9"/>
  <c r="I55" i="9" s="1"/>
  <c r="H54" i="9"/>
  <c r="H53" i="9"/>
  <c r="I53" i="9" s="1"/>
  <c r="I54" i="9"/>
  <c r="D56" i="9"/>
  <c r="D55" i="9"/>
  <c r="D54" i="9"/>
  <c r="D53" i="9"/>
  <c r="H46" i="9"/>
  <c r="I46" i="9" s="1"/>
  <c r="H36" i="9"/>
  <c r="I36" i="9" s="1"/>
  <c r="H26" i="9"/>
  <c r="I26" i="9" s="1"/>
  <c r="H16" i="9"/>
  <c r="I16" i="9" s="1"/>
  <c r="H45" i="9"/>
  <c r="I45" i="9" s="1"/>
  <c r="H25" i="9"/>
  <c r="I25" i="9" s="1"/>
  <c r="H35" i="9"/>
  <c r="I35" i="9" s="1"/>
  <c r="H15" i="9"/>
  <c r="I15" i="9" s="1"/>
  <c r="H44" i="9"/>
  <c r="I44" i="9" s="1"/>
  <c r="H34" i="9"/>
  <c r="I34" i="9" s="1"/>
  <c r="H24" i="9"/>
  <c r="I24" i="9" s="1"/>
  <c r="H14" i="9"/>
  <c r="I14" i="9" s="1"/>
  <c r="H43" i="9"/>
  <c r="I43" i="9" s="1"/>
  <c r="H33" i="9"/>
  <c r="I33" i="9" s="1"/>
  <c r="H23" i="9"/>
  <c r="I23" i="9" s="1"/>
  <c r="H13" i="9"/>
  <c r="I13" i="9" s="1"/>
  <c r="D46" i="9"/>
  <c r="D45" i="9"/>
  <c r="D44" i="9"/>
  <c r="D43" i="9"/>
  <c r="D36" i="9"/>
  <c r="D35" i="9"/>
  <c r="D34" i="9"/>
  <c r="D33" i="9"/>
  <c r="D26" i="9"/>
  <c r="D25" i="9"/>
  <c r="D24" i="9"/>
  <c r="D23" i="9"/>
  <c r="D16" i="9"/>
  <c r="D15" i="9"/>
  <c r="D14" i="9"/>
  <c r="D13" i="9"/>
  <c r="E77" i="13" l="1"/>
  <c r="E89" i="13"/>
  <c r="M100" i="2"/>
  <c r="M99" i="2"/>
  <c r="M98" i="2"/>
  <c r="M97" i="2"/>
  <c r="M96" i="2"/>
  <c r="M95" i="2"/>
  <c r="M94" i="2"/>
  <c r="M93" i="2"/>
  <c r="M92" i="2"/>
  <c r="M91" i="2"/>
  <c r="M90" i="2"/>
  <c r="M83" i="2"/>
  <c r="M82" i="2"/>
  <c r="M81" i="2"/>
  <c r="M80" i="2"/>
  <c r="M79" i="2"/>
  <c r="M78" i="2"/>
  <c r="M77" i="2"/>
  <c r="M76" i="2"/>
  <c r="M75" i="2"/>
  <c r="M74" i="2"/>
  <c r="M73" i="2"/>
  <c r="M66" i="2"/>
  <c r="M65" i="2"/>
  <c r="M64" i="2"/>
  <c r="M63" i="2"/>
  <c r="M62" i="2"/>
  <c r="M61" i="2"/>
  <c r="M60" i="2"/>
  <c r="M59" i="2"/>
  <c r="M58" i="2"/>
  <c r="M57" i="2"/>
  <c r="M56" i="2"/>
  <c r="M49" i="2"/>
  <c r="M48" i="2"/>
  <c r="M47" i="2"/>
  <c r="M46" i="2"/>
  <c r="M45" i="2"/>
  <c r="M44" i="2"/>
  <c r="M43" i="2"/>
  <c r="M42" i="2"/>
  <c r="M41" i="2"/>
  <c r="M40" i="2"/>
  <c r="M39" i="2"/>
  <c r="M32" i="2"/>
  <c r="M31" i="2"/>
  <c r="M30" i="2"/>
  <c r="M29" i="2"/>
  <c r="M28" i="2"/>
  <c r="M27" i="2"/>
  <c r="M26" i="2"/>
  <c r="M25" i="2"/>
  <c r="M24" i="2"/>
  <c r="M23" i="2"/>
  <c r="M22" i="2"/>
  <c r="O100" i="2"/>
  <c r="O99" i="2"/>
  <c r="O98" i="2"/>
  <c r="O97" i="2"/>
  <c r="O96" i="2"/>
  <c r="O95" i="2"/>
  <c r="O94" i="2"/>
  <c r="O93" i="2"/>
  <c r="O92" i="2"/>
  <c r="O91" i="2"/>
  <c r="O90" i="2"/>
  <c r="O83" i="2"/>
  <c r="O82" i="2"/>
  <c r="O81" i="2"/>
  <c r="O80" i="2"/>
  <c r="O79" i="2"/>
  <c r="O78" i="2"/>
  <c r="O77" i="2"/>
  <c r="O76" i="2"/>
  <c r="O75" i="2"/>
  <c r="O74" i="2"/>
  <c r="O73" i="2"/>
  <c r="O66" i="2"/>
  <c r="O65" i="2"/>
  <c r="O64" i="2"/>
  <c r="O63" i="2"/>
  <c r="O62" i="2"/>
  <c r="O61" i="2"/>
  <c r="O60" i="2"/>
  <c r="O59" i="2"/>
  <c r="O58" i="2"/>
  <c r="O57" i="2"/>
  <c r="O56" i="2"/>
  <c r="O49" i="2"/>
  <c r="O48" i="2"/>
  <c r="O47" i="2"/>
  <c r="O46" i="2"/>
  <c r="O45" i="2"/>
  <c r="O44" i="2"/>
  <c r="O43" i="2"/>
  <c r="O42" i="2"/>
  <c r="O41" i="2"/>
  <c r="O40" i="2"/>
  <c r="O39" i="2"/>
  <c r="O32" i="2"/>
  <c r="O31" i="2"/>
  <c r="O30" i="2"/>
  <c r="O29" i="2"/>
  <c r="O28" i="2"/>
  <c r="O27" i="2"/>
  <c r="O26" i="2"/>
  <c r="O25" i="2"/>
  <c r="O24" i="2"/>
  <c r="O23" i="2"/>
  <c r="O22" i="2"/>
  <c r="O15" i="2"/>
  <c r="O14" i="2"/>
  <c r="O13" i="2"/>
  <c r="O12" i="2"/>
  <c r="O11" i="2"/>
  <c r="O10" i="2"/>
  <c r="O9" i="2"/>
  <c r="O8" i="2"/>
  <c r="O7" i="2"/>
  <c r="M15" i="2"/>
  <c r="M14" i="2"/>
  <c r="M13" i="2"/>
  <c r="M12" i="2"/>
  <c r="M11" i="2"/>
  <c r="M10" i="2"/>
  <c r="M9" i="2"/>
  <c r="D4" i="9"/>
  <c r="D5" i="9"/>
  <c r="D6" i="9"/>
  <c r="D3" i="9"/>
  <c r="H6" i="9"/>
  <c r="I6" i="9" s="1"/>
  <c r="H5" i="9"/>
  <c r="I5" i="9" s="1"/>
  <c r="H4" i="9"/>
  <c r="I4" i="9" s="1"/>
  <c r="I3" i="9"/>
  <c r="G89" i="13" l="1"/>
  <c r="E96" i="13"/>
  <c r="C99" i="13" s="1"/>
  <c r="B24" i="4"/>
  <c r="C23" i="4"/>
  <c r="B25" i="4" s="1"/>
  <c r="B26" i="4" s="1"/>
  <c r="M8" i="2"/>
  <c r="M7" i="2"/>
  <c r="O6" i="2"/>
  <c r="M6" i="2"/>
  <c r="B18" i="4"/>
  <c r="B17" i="4"/>
  <c r="C11" i="4"/>
  <c r="M6" i="4" s="1"/>
  <c r="M11" i="4" l="1"/>
  <c r="M10" i="4"/>
  <c r="L9" i="6"/>
  <c r="I21" i="6"/>
  <c r="I18" i="6"/>
  <c r="I17" i="6"/>
  <c r="I16" i="6"/>
  <c r="I15" i="6"/>
  <c r="E58" i="6"/>
  <c r="E54" i="6"/>
  <c r="E50" i="6"/>
  <c r="E33" i="6"/>
  <c r="E31" i="6"/>
  <c r="E29" i="6"/>
  <c r="E24" i="6"/>
  <c r="E19" i="6"/>
  <c r="E17" i="6"/>
  <c r="E15" i="6"/>
  <c r="E10" i="6"/>
  <c r="E6" i="6"/>
  <c r="E43" i="6" s="1"/>
  <c r="E40" i="6" l="1"/>
  <c r="E46" i="6"/>
  <c r="E11" i="6"/>
  <c r="E25" i="6"/>
  <c r="E37" i="6"/>
  <c r="E34" i="6"/>
  <c r="E20" i="6"/>
  <c r="B54" i="6" l="1"/>
  <c r="B48" i="6"/>
  <c r="B55" i="6" s="1"/>
  <c r="B46" i="6"/>
  <c r="L14" i="7"/>
  <c r="B52" i="6" s="1"/>
  <c r="L13" i="7"/>
  <c r="K13" i="7"/>
  <c r="K14" i="7"/>
  <c r="B44" i="6" s="1"/>
  <c r="B34" i="6"/>
  <c r="B30" i="6"/>
  <c r="B29" i="6"/>
  <c r="B25" i="6"/>
  <c r="B23" i="6"/>
  <c r="B21" i="6"/>
  <c r="B14" i="6"/>
  <c r="B12" i="6"/>
  <c r="B6" i="6"/>
  <c r="E33" i="7"/>
  <c r="E32" i="7"/>
  <c r="E31" i="7"/>
  <c r="E30" i="7"/>
  <c r="E29" i="7"/>
  <c r="E28" i="7"/>
  <c r="E27" i="7"/>
  <c r="E26" i="7"/>
  <c r="E25" i="7"/>
  <c r="E24" i="7"/>
  <c r="E23" i="7"/>
  <c r="E22" i="7"/>
  <c r="E21" i="7"/>
  <c r="E20" i="7"/>
  <c r="E19" i="7"/>
  <c r="E18" i="7"/>
  <c r="E17" i="7"/>
  <c r="E16" i="7"/>
  <c r="E15" i="7"/>
  <c r="E14" i="7"/>
  <c r="E13" i="7"/>
  <c r="E12" i="7"/>
  <c r="E11" i="7"/>
  <c r="E10" i="7"/>
  <c r="E9" i="7"/>
  <c r="E8" i="7"/>
  <c r="E7" i="7"/>
  <c r="E6" i="7"/>
  <c r="E5" i="7"/>
  <c r="E4" i="7"/>
  <c r="E3" i="7"/>
  <c r="B5" i="6" s="1"/>
  <c r="B31" i="6" l="1"/>
  <c r="B32" i="6" s="1"/>
  <c r="B35" i="6" s="1"/>
  <c r="H7" i="6" s="1"/>
  <c r="B49" i="6"/>
  <c r="B26" i="6"/>
  <c r="B56" i="6"/>
  <c r="H11" i="6" s="1"/>
  <c r="B15" i="6"/>
  <c r="H10" i="6" l="1"/>
  <c r="H8" i="6"/>
  <c r="H6" i="6"/>
  <c r="H4" i="6"/>
  <c r="B63" i="7" s="1"/>
  <c r="H5" i="6"/>
  <c r="H9" i="6"/>
  <c r="B6" i="4"/>
  <c r="C6" i="4" s="1"/>
  <c r="D6" i="4" s="1"/>
  <c r="B2" i="4"/>
  <c r="C5" i="4" s="1"/>
  <c r="P100" i="2"/>
  <c r="P99" i="2"/>
  <c r="E99" i="2"/>
  <c r="F99" i="2" s="1"/>
  <c r="H99" i="2" s="1"/>
  <c r="I99" i="2" s="1"/>
  <c r="J99" i="2" s="1"/>
  <c r="P98" i="2"/>
  <c r="E98" i="2"/>
  <c r="F98" i="2" s="1"/>
  <c r="H98" i="2" s="1"/>
  <c r="I98" i="2" s="1"/>
  <c r="J98" i="2" s="1"/>
  <c r="P97" i="2"/>
  <c r="E97" i="2"/>
  <c r="F97" i="2" s="1"/>
  <c r="H97" i="2" s="1"/>
  <c r="I97" i="2" s="1"/>
  <c r="J97" i="2" s="1"/>
  <c r="P96" i="2"/>
  <c r="E96" i="2"/>
  <c r="F96" i="2" s="1"/>
  <c r="H96" i="2" s="1"/>
  <c r="I96" i="2" s="1"/>
  <c r="J96" i="2" s="1"/>
  <c r="P95" i="2"/>
  <c r="E95" i="2"/>
  <c r="F95" i="2" s="1"/>
  <c r="H95" i="2" s="1"/>
  <c r="I95" i="2" s="1"/>
  <c r="J95" i="2" s="1"/>
  <c r="P94" i="2"/>
  <c r="E94" i="2"/>
  <c r="F94" i="2" s="1"/>
  <c r="H94" i="2" s="1"/>
  <c r="I94" i="2" s="1"/>
  <c r="J94" i="2" s="1"/>
  <c r="P93" i="2"/>
  <c r="E93" i="2"/>
  <c r="F93" i="2" s="1"/>
  <c r="H93" i="2" s="1"/>
  <c r="I93" i="2" s="1"/>
  <c r="J93" i="2" s="1"/>
  <c r="P92" i="2"/>
  <c r="E92" i="2"/>
  <c r="F92" i="2" s="1"/>
  <c r="H92" i="2" s="1"/>
  <c r="I92" i="2" s="1"/>
  <c r="J92" i="2" s="1"/>
  <c r="P91" i="2"/>
  <c r="E91" i="2"/>
  <c r="F91" i="2" s="1"/>
  <c r="H91" i="2" s="1"/>
  <c r="I91" i="2" s="1"/>
  <c r="J91" i="2" s="1"/>
  <c r="P90" i="2"/>
  <c r="E90" i="2"/>
  <c r="F90" i="2" s="1"/>
  <c r="H90" i="2" s="1"/>
  <c r="I90" i="2" s="1"/>
  <c r="J90" i="2" s="1"/>
  <c r="P83" i="2"/>
  <c r="P82" i="2"/>
  <c r="E82" i="2"/>
  <c r="F82" i="2" s="1"/>
  <c r="H82" i="2" s="1"/>
  <c r="I82" i="2" s="1"/>
  <c r="J82" i="2" s="1"/>
  <c r="P81" i="2"/>
  <c r="E81" i="2"/>
  <c r="F81" i="2" s="1"/>
  <c r="H81" i="2" s="1"/>
  <c r="I81" i="2" s="1"/>
  <c r="J81" i="2" s="1"/>
  <c r="P80" i="2"/>
  <c r="E80" i="2"/>
  <c r="F80" i="2" s="1"/>
  <c r="H80" i="2" s="1"/>
  <c r="I80" i="2" s="1"/>
  <c r="J80" i="2" s="1"/>
  <c r="P79" i="2"/>
  <c r="E79" i="2"/>
  <c r="F79" i="2" s="1"/>
  <c r="H79" i="2" s="1"/>
  <c r="I79" i="2" s="1"/>
  <c r="J79" i="2" s="1"/>
  <c r="P78" i="2"/>
  <c r="E78" i="2"/>
  <c r="F78" i="2" s="1"/>
  <c r="H78" i="2" s="1"/>
  <c r="I78" i="2" s="1"/>
  <c r="J78" i="2" s="1"/>
  <c r="P77" i="2"/>
  <c r="E77" i="2"/>
  <c r="F77" i="2" s="1"/>
  <c r="H77" i="2" s="1"/>
  <c r="I77" i="2" s="1"/>
  <c r="J77" i="2" s="1"/>
  <c r="P76" i="2"/>
  <c r="E76" i="2"/>
  <c r="F76" i="2" s="1"/>
  <c r="H76" i="2" s="1"/>
  <c r="I76" i="2" s="1"/>
  <c r="J76" i="2" s="1"/>
  <c r="P75" i="2"/>
  <c r="E75" i="2"/>
  <c r="F75" i="2" s="1"/>
  <c r="H75" i="2" s="1"/>
  <c r="I75" i="2" s="1"/>
  <c r="J75" i="2" s="1"/>
  <c r="P74" i="2"/>
  <c r="E74" i="2"/>
  <c r="F74" i="2" s="1"/>
  <c r="H74" i="2" s="1"/>
  <c r="I74" i="2" s="1"/>
  <c r="J74" i="2" s="1"/>
  <c r="P73" i="2"/>
  <c r="E73" i="2"/>
  <c r="F73" i="2" s="1"/>
  <c r="H73" i="2" s="1"/>
  <c r="I73" i="2" s="1"/>
  <c r="J73" i="2" s="1"/>
  <c r="P66" i="2"/>
  <c r="P65" i="2"/>
  <c r="E65" i="2"/>
  <c r="F65" i="2" s="1"/>
  <c r="H65" i="2" s="1"/>
  <c r="I65" i="2" s="1"/>
  <c r="J65" i="2" s="1"/>
  <c r="P64" i="2"/>
  <c r="E64" i="2"/>
  <c r="F64" i="2" s="1"/>
  <c r="H64" i="2" s="1"/>
  <c r="I64" i="2" s="1"/>
  <c r="J64" i="2" s="1"/>
  <c r="P63" i="2"/>
  <c r="E63" i="2"/>
  <c r="F63" i="2" s="1"/>
  <c r="H63" i="2" s="1"/>
  <c r="I63" i="2" s="1"/>
  <c r="J63" i="2" s="1"/>
  <c r="P62" i="2"/>
  <c r="E62" i="2"/>
  <c r="F62" i="2" s="1"/>
  <c r="H62" i="2" s="1"/>
  <c r="I62" i="2" s="1"/>
  <c r="J62" i="2" s="1"/>
  <c r="P61" i="2"/>
  <c r="E61" i="2"/>
  <c r="F61" i="2" s="1"/>
  <c r="H61" i="2" s="1"/>
  <c r="I61" i="2" s="1"/>
  <c r="J61" i="2" s="1"/>
  <c r="P60" i="2"/>
  <c r="E60" i="2"/>
  <c r="F60" i="2" s="1"/>
  <c r="H60" i="2" s="1"/>
  <c r="I60" i="2" s="1"/>
  <c r="J60" i="2" s="1"/>
  <c r="P59" i="2"/>
  <c r="E59" i="2"/>
  <c r="F59" i="2" s="1"/>
  <c r="H59" i="2" s="1"/>
  <c r="I59" i="2" s="1"/>
  <c r="J59" i="2" s="1"/>
  <c r="P58" i="2"/>
  <c r="E58" i="2"/>
  <c r="F58" i="2" s="1"/>
  <c r="H58" i="2" s="1"/>
  <c r="I58" i="2" s="1"/>
  <c r="J58" i="2" s="1"/>
  <c r="P57" i="2"/>
  <c r="E57" i="2"/>
  <c r="F57" i="2" s="1"/>
  <c r="H57" i="2" s="1"/>
  <c r="I57" i="2" s="1"/>
  <c r="J57" i="2" s="1"/>
  <c r="P56" i="2"/>
  <c r="E56" i="2"/>
  <c r="F56" i="2" s="1"/>
  <c r="H56" i="2" s="1"/>
  <c r="I56" i="2" s="1"/>
  <c r="J56" i="2" s="1"/>
  <c r="P49" i="2"/>
  <c r="P48" i="2"/>
  <c r="E48" i="2"/>
  <c r="F48" i="2" s="1"/>
  <c r="H48" i="2" s="1"/>
  <c r="I48" i="2" s="1"/>
  <c r="J48" i="2" s="1"/>
  <c r="P47" i="2"/>
  <c r="E47" i="2"/>
  <c r="F47" i="2" s="1"/>
  <c r="H47" i="2" s="1"/>
  <c r="I47" i="2" s="1"/>
  <c r="J47" i="2" s="1"/>
  <c r="P46" i="2"/>
  <c r="E46" i="2"/>
  <c r="F46" i="2" s="1"/>
  <c r="H46" i="2" s="1"/>
  <c r="I46" i="2" s="1"/>
  <c r="J46" i="2" s="1"/>
  <c r="P45" i="2"/>
  <c r="E45" i="2"/>
  <c r="F45" i="2" s="1"/>
  <c r="H45" i="2" s="1"/>
  <c r="I45" i="2" s="1"/>
  <c r="J45" i="2" s="1"/>
  <c r="P44" i="2"/>
  <c r="E44" i="2"/>
  <c r="F44" i="2" s="1"/>
  <c r="H44" i="2" s="1"/>
  <c r="I44" i="2" s="1"/>
  <c r="J44" i="2" s="1"/>
  <c r="P43" i="2"/>
  <c r="E43" i="2"/>
  <c r="F43" i="2" s="1"/>
  <c r="H43" i="2" s="1"/>
  <c r="I43" i="2" s="1"/>
  <c r="J43" i="2" s="1"/>
  <c r="P42" i="2"/>
  <c r="E42" i="2"/>
  <c r="F42" i="2" s="1"/>
  <c r="H42" i="2" s="1"/>
  <c r="I42" i="2" s="1"/>
  <c r="J42" i="2" s="1"/>
  <c r="P41" i="2"/>
  <c r="E41" i="2"/>
  <c r="F41" i="2" s="1"/>
  <c r="H41" i="2" s="1"/>
  <c r="I41" i="2" s="1"/>
  <c r="J41" i="2" s="1"/>
  <c r="P40" i="2"/>
  <c r="E40" i="2"/>
  <c r="F40" i="2" s="1"/>
  <c r="H40" i="2" s="1"/>
  <c r="I40" i="2" s="1"/>
  <c r="J40" i="2" s="1"/>
  <c r="P39" i="2"/>
  <c r="E39" i="2"/>
  <c r="F39" i="2" s="1"/>
  <c r="H39" i="2" s="1"/>
  <c r="I39" i="2" s="1"/>
  <c r="J39" i="2" s="1"/>
  <c r="P32" i="2"/>
  <c r="P31" i="2"/>
  <c r="H31" i="2"/>
  <c r="I31" i="2" s="1"/>
  <c r="J31" i="2" s="1"/>
  <c r="P30" i="2"/>
  <c r="H30" i="2"/>
  <c r="I30" i="2" s="1"/>
  <c r="J30" i="2" s="1"/>
  <c r="P29" i="2"/>
  <c r="H29" i="2"/>
  <c r="I29" i="2" s="1"/>
  <c r="J29" i="2" s="1"/>
  <c r="P28" i="2"/>
  <c r="H28" i="2"/>
  <c r="I28" i="2" s="1"/>
  <c r="J28" i="2" s="1"/>
  <c r="P27" i="2"/>
  <c r="H27" i="2"/>
  <c r="I27" i="2" s="1"/>
  <c r="J27" i="2" s="1"/>
  <c r="P26" i="2"/>
  <c r="H26" i="2"/>
  <c r="I26" i="2" s="1"/>
  <c r="J26" i="2" s="1"/>
  <c r="P25" i="2"/>
  <c r="H25" i="2"/>
  <c r="I25" i="2" s="1"/>
  <c r="J25" i="2" s="1"/>
  <c r="P24" i="2"/>
  <c r="H24" i="2"/>
  <c r="I24" i="2" s="1"/>
  <c r="J24" i="2" s="1"/>
  <c r="P23" i="2"/>
  <c r="H23" i="2"/>
  <c r="I23" i="2" s="1"/>
  <c r="J23" i="2" s="1"/>
  <c r="P22" i="2"/>
  <c r="F22" i="2"/>
  <c r="H22" i="2" s="1"/>
  <c r="I22" i="2" s="1"/>
  <c r="J22" i="2" s="1"/>
  <c r="D64" i="7" l="1"/>
  <c r="L5" i="6" s="1"/>
  <c r="E64" i="7"/>
  <c r="C64" i="7"/>
  <c r="E63" i="7"/>
  <c r="B65" i="7"/>
  <c r="L3" i="6" s="1"/>
  <c r="B64" i="7"/>
  <c r="C65" i="7"/>
  <c r="E65" i="7"/>
  <c r="L4" i="6"/>
  <c r="L6" i="6"/>
  <c r="D5" i="4"/>
  <c r="D7" i="4" s="1"/>
  <c r="E100" i="2"/>
  <c r="E83" i="2"/>
  <c r="E66" i="2"/>
  <c r="E49" i="2"/>
  <c r="E32" i="2"/>
  <c r="P12" i="2"/>
  <c r="P6" i="2"/>
  <c r="P10" i="2"/>
  <c r="P14" i="2"/>
  <c r="O5" i="2"/>
  <c r="P15" i="2"/>
  <c r="P7" i="2"/>
  <c r="P8" i="2"/>
  <c r="P9" i="2"/>
  <c r="P11" i="2"/>
  <c r="P13" i="2"/>
  <c r="M5" i="2"/>
  <c r="H9" i="2"/>
  <c r="I9" i="2" s="1"/>
  <c r="J9" i="2" s="1"/>
  <c r="H10" i="2"/>
  <c r="I10" i="2" s="1"/>
  <c r="J10" i="2" s="1"/>
  <c r="H11" i="2"/>
  <c r="I11" i="2" s="1"/>
  <c r="J11" i="2" s="1"/>
  <c r="H12" i="2"/>
  <c r="I12" i="2" s="1"/>
  <c r="J12" i="2" s="1"/>
  <c r="H13" i="2"/>
  <c r="I13" i="2" s="1"/>
  <c r="J13" i="2" s="1"/>
  <c r="H14" i="2"/>
  <c r="I14" i="2" s="1"/>
  <c r="J14" i="2" s="1"/>
  <c r="H6" i="2"/>
  <c r="I6" i="2" s="1"/>
  <c r="J6" i="2" s="1"/>
  <c r="H7" i="2"/>
  <c r="I7" i="2" s="1"/>
  <c r="J7" i="2" s="1"/>
  <c r="H8" i="2"/>
  <c r="I8" i="2" s="1"/>
  <c r="J8" i="2" s="1"/>
  <c r="L8" i="6" l="1"/>
  <c r="K10" i="6" s="1"/>
  <c r="P5" i="2"/>
  <c r="F5" i="2"/>
  <c r="H5" i="2" s="1"/>
  <c r="I5" i="2" s="1"/>
  <c r="J5" i="2" s="1"/>
  <c r="E15" i="2"/>
  <c r="F100" i="2"/>
  <c r="H100" i="2" s="1"/>
  <c r="I100" i="2" s="1"/>
  <c r="J100" i="2" s="1"/>
  <c r="E101" i="2"/>
  <c r="F101" i="2" s="1"/>
  <c r="F83" i="2"/>
  <c r="H83" i="2" s="1"/>
  <c r="I83" i="2" s="1"/>
  <c r="J83" i="2" s="1"/>
  <c r="E84" i="2"/>
  <c r="F84" i="2" s="1"/>
  <c r="F66" i="2"/>
  <c r="H66" i="2" s="1"/>
  <c r="I66" i="2" s="1"/>
  <c r="J66" i="2" s="1"/>
  <c r="E67" i="2"/>
  <c r="F67" i="2" s="1"/>
  <c r="F49" i="2"/>
  <c r="H49" i="2" s="1"/>
  <c r="I49" i="2" s="1"/>
  <c r="J49" i="2" s="1"/>
  <c r="E50" i="2"/>
  <c r="F50" i="2" s="1"/>
  <c r="F32" i="2"/>
  <c r="H32" i="2" s="1"/>
  <c r="I32" i="2" s="1"/>
  <c r="J32" i="2" s="1"/>
  <c r="E33" i="2"/>
  <c r="F33" i="2" s="1"/>
  <c r="L14" i="6" l="1"/>
  <c r="E16" i="2"/>
  <c r="F16" i="2" s="1"/>
  <c r="B5" i="4" s="1"/>
  <c r="B7" i="4" s="1"/>
  <c r="F15" i="2"/>
  <c r="H15" i="2" s="1"/>
  <c r="I15" i="2" s="1"/>
  <c r="J15" i="2" s="1"/>
  <c r="L25" i="6" l="1"/>
  <c r="K26" i="6" s="1"/>
  <c r="AB4" i="6"/>
  <c r="AB10" i="6" l="1"/>
  <c r="AB8" i="6"/>
  <c r="AB9" i="6"/>
  <c r="AB7"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fmoreno</author>
  </authors>
  <commentList>
    <comment ref="I17" authorId="0" shapeId="0" xr:uid="{00000000-0006-0000-1000-000001000000}">
      <text>
        <r>
          <rPr>
            <b/>
            <sz val="8"/>
            <color indexed="81"/>
            <rFont val="Tahoma"/>
            <family val="2"/>
          </rPr>
          <t>Si la malla no tiene Varillas Colocar 0</t>
        </r>
        <r>
          <rPr>
            <sz val="8"/>
            <color indexed="81"/>
            <rFont val="Tahoma"/>
            <family val="2"/>
          </rPr>
          <t xml:space="preserve">
</t>
        </r>
      </text>
    </comment>
    <comment ref="AI86" authorId="0" shapeId="0" xr:uid="{00000000-0006-0000-1000-000002000000}">
      <text>
        <r>
          <rPr>
            <b/>
            <sz val="8"/>
            <color indexed="81"/>
            <rFont val="Tahoma"/>
            <family val="2"/>
          </rPr>
          <t>Valor entre (0,1]
Asumir 1, para indicar que toda la corriente de la falla se drena por la malla</t>
        </r>
      </text>
    </comment>
  </commentList>
</comments>
</file>

<file path=xl/sharedStrings.xml><?xml version="1.0" encoding="utf-8"?>
<sst xmlns="http://schemas.openxmlformats.org/spreadsheetml/2006/main" count="1757" uniqueCount="1032">
  <si>
    <t>TOMAS</t>
  </si>
  <si>
    <t>POTENCIA</t>
  </si>
  <si>
    <t>TENSION</t>
  </si>
  <si>
    <t>CORRIENTE</t>
  </si>
  <si>
    <t>PROTECCION</t>
  </si>
  <si>
    <t>FASE</t>
  </si>
  <si>
    <t>NORMAL</t>
  </si>
  <si>
    <t>GFCI</t>
  </si>
  <si>
    <t>W</t>
  </si>
  <si>
    <t>VA</t>
  </si>
  <si>
    <t>V</t>
  </si>
  <si>
    <t>A</t>
  </si>
  <si>
    <t>R</t>
  </si>
  <si>
    <t>S</t>
  </si>
  <si>
    <t>T</t>
  </si>
  <si>
    <t>DESCRIPCION</t>
  </si>
  <si>
    <t>X</t>
  </si>
  <si>
    <t>TOTAL</t>
  </si>
  <si>
    <t>CUADRO DE CARGAS</t>
  </si>
  <si>
    <t>CIRCUITOS</t>
  </si>
  <si>
    <t>CALIBRE AWG-THHN</t>
  </si>
  <si>
    <t>CANTIDAD DE CONDUCTORES</t>
  </si>
  <si>
    <r>
      <t>AREA  (mm</t>
    </r>
    <r>
      <rPr>
        <sz val="11"/>
        <color theme="1"/>
        <rFont val="Calibri"/>
        <family val="2"/>
      </rPr>
      <t>²</t>
    </r>
    <r>
      <rPr>
        <sz val="11"/>
        <color theme="1"/>
        <rFont val="Calibri"/>
        <family val="2"/>
        <scheme val="minor"/>
      </rPr>
      <t>)</t>
    </r>
  </si>
  <si>
    <t>DUCTOS</t>
  </si>
  <si>
    <t>% OCUPACIÓN           &lt; 40%</t>
  </si>
  <si>
    <t>ILUMINACIÓN</t>
  </si>
  <si>
    <t>1,15*A</t>
  </si>
  <si>
    <t>1 X A</t>
  </si>
  <si>
    <t>Tipo</t>
  </si>
  <si>
    <t>Calibre
AWG o
kcmil</t>
  </si>
  <si>
    <r>
      <t>Secc. Transv.
cond. (mm</t>
    </r>
    <r>
      <rPr>
        <b/>
        <sz val="5"/>
        <color rgb="FF000000"/>
        <rFont val="Arial-BoldMT"/>
      </rPr>
      <t>2</t>
    </r>
    <r>
      <rPr>
        <b/>
        <sz val="8"/>
        <color rgb="FF000000"/>
        <rFont val="Arial-BoldMT"/>
      </rPr>
      <t>)</t>
    </r>
  </si>
  <si>
    <t>Diámetro aprox.
(mm)</t>
  </si>
  <si>
    <r>
      <t>Sección aprox.
total (mm</t>
    </r>
    <r>
      <rPr>
        <b/>
        <sz val="5"/>
        <color rgb="FF000000"/>
        <rFont val="Arial-BoldMT"/>
      </rPr>
      <t>2</t>
    </r>
    <r>
      <rPr>
        <b/>
        <sz val="8"/>
        <color rgb="FF000000"/>
        <rFont val="Arial-BoldMT"/>
      </rPr>
      <t>)</t>
    </r>
  </si>
  <si>
    <t>RHH*, RHW*, RHW-2*
THH, THW, AF, XF,
XFF
RHH', RHW*, RHW-2*.
THHW, THW, THW-2</t>
  </si>
  <si>
    <t xml:space="preserve">3,30 </t>
  </si>
  <si>
    <t xml:space="preserve">5,25 </t>
  </si>
  <si>
    <t xml:space="preserve">5,2 </t>
  </si>
  <si>
    <t xml:space="preserve">8,36 </t>
  </si>
  <si>
    <t xml:space="preserve">6,8 </t>
  </si>
  <si>
    <t>TW, THW
THHW
THW-2
RHH*
RHW*
RHW-2*</t>
  </si>
  <si>
    <t xml:space="preserve">13,29 </t>
  </si>
  <si>
    <t xml:space="preserve">7,7 </t>
  </si>
  <si>
    <t xml:space="preserve">21,14 </t>
  </si>
  <si>
    <t xml:space="preserve">6,9 </t>
  </si>
  <si>
    <t xml:space="preserve">26,66 </t>
  </si>
  <si>
    <t xml:space="preserve">9,7 </t>
  </si>
  <si>
    <t xml:space="preserve">33,62 </t>
  </si>
  <si>
    <t xml:space="preserve">10,5 </t>
  </si>
  <si>
    <t xml:space="preserve">42,2 </t>
  </si>
  <si>
    <t xml:space="preserve">12,5 </t>
  </si>
  <si>
    <t xml:space="preserve">1/0 </t>
  </si>
  <si>
    <t xml:space="preserve">53,50 </t>
  </si>
  <si>
    <t xml:space="preserve">13,5 </t>
  </si>
  <si>
    <t xml:space="preserve">2/0 </t>
  </si>
  <si>
    <t xml:space="preserve">67,44 </t>
  </si>
  <si>
    <t xml:space="preserve">14,7 </t>
  </si>
  <si>
    <t>169,3</t>
  </si>
  <si>
    <t xml:space="preserve">3/0 </t>
  </si>
  <si>
    <t xml:space="preserve">85,02 </t>
  </si>
  <si>
    <t xml:space="preserve">16,0 </t>
  </si>
  <si>
    <t>201,1</t>
  </si>
  <si>
    <t xml:space="preserve">4/0 </t>
  </si>
  <si>
    <t xml:space="preserve">107,21 </t>
  </si>
  <si>
    <t xml:space="preserve">17,5 </t>
  </si>
  <si>
    <t>239,9</t>
  </si>
  <si>
    <t xml:space="preserve">126,67 </t>
  </si>
  <si>
    <t xml:space="preserve">19,4 </t>
  </si>
  <si>
    <t>296,5</t>
  </si>
  <si>
    <t xml:space="preserve">152,01 </t>
  </si>
  <si>
    <t xml:space="preserve">20,3 </t>
  </si>
  <si>
    <t>340,7</t>
  </si>
  <si>
    <t xml:space="preserve">177,34 </t>
  </si>
  <si>
    <t>384,4</t>
  </si>
  <si>
    <t xml:space="preserve">202,68 </t>
  </si>
  <si>
    <t xml:space="preserve">23,3 </t>
  </si>
  <si>
    <t>427,0</t>
  </si>
  <si>
    <t xml:space="preserve">253,35 </t>
  </si>
  <si>
    <t xml:space="preserve">25,5 </t>
  </si>
  <si>
    <t>509,7</t>
  </si>
  <si>
    <t xml:space="preserve">304,02 </t>
  </si>
  <si>
    <t xml:space="preserve">28,3 </t>
  </si>
  <si>
    <t>627,7</t>
  </si>
  <si>
    <t xml:space="preserve">354,69 </t>
  </si>
  <si>
    <t xml:space="preserve">30,1 </t>
  </si>
  <si>
    <t>710,3</t>
  </si>
  <si>
    <t xml:space="preserve">380,02 </t>
  </si>
  <si>
    <t xml:space="preserve">30,9 </t>
  </si>
  <si>
    <t>751,7</t>
  </si>
  <si>
    <t xml:space="preserve">405,36 </t>
  </si>
  <si>
    <t xml:space="preserve">31,8 </t>
  </si>
  <si>
    <t>791,7</t>
  </si>
  <si>
    <t xml:space="preserve">456,03 </t>
  </si>
  <si>
    <t xml:space="preserve">33,4 </t>
  </si>
  <si>
    <t>874,9</t>
  </si>
  <si>
    <t xml:space="preserve">506,70 </t>
  </si>
  <si>
    <t xml:space="preserve">34,8 </t>
  </si>
  <si>
    <t>953,8</t>
  </si>
  <si>
    <t xml:space="preserve">633,38 </t>
  </si>
  <si>
    <t xml:space="preserve">39,1 </t>
  </si>
  <si>
    <t>1200,1</t>
  </si>
  <si>
    <t xml:space="preserve">760,05 </t>
  </si>
  <si>
    <t>1 399,7</t>
  </si>
  <si>
    <t xml:space="preserve">886,73 </t>
  </si>
  <si>
    <t xml:space="preserve">45,1 </t>
  </si>
  <si>
    <t>1 598,3</t>
  </si>
  <si>
    <t xml:space="preserve">2 000 </t>
  </si>
  <si>
    <t xml:space="preserve">1 013,40 </t>
  </si>
  <si>
    <t xml:space="preserve">47,8 </t>
  </si>
  <si>
    <t>1794,7</t>
  </si>
  <si>
    <t xml:space="preserve">TEN </t>
  </si>
  <si>
    <t xml:space="preserve">0,82 </t>
  </si>
  <si>
    <t xml:space="preserve">2,1 </t>
  </si>
  <si>
    <t>3,6</t>
  </si>
  <si>
    <t xml:space="preserve">TIFF </t>
  </si>
  <si>
    <t xml:space="preserve">1,31 </t>
  </si>
  <si>
    <t xml:space="preserve">2,4 </t>
  </si>
  <si>
    <t>4,7</t>
  </si>
  <si>
    <t>THHN
THWN
THWN-2</t>
  </si>
  <si>
    <t xml:space="preserve">2,08 </t>
  </si>
  <si>
    <t xml:space="preserve">2,8 </t>
  </si>
  <si>
    <t>6,3</t>
  </si>
  <si>
    <t xml:space="preserve">3,3 </t>
  </si>
  <si>
    <t>8,6</t>
  </si>
  <si>
    <t xml:space="preserve">10 • </t>
  </si>
  <si>
    <t xml:space="preserve">4,2 </t>
  </si>
  <si>
    <t>13,6</t>
  </si>
  <si>
    <t xml:space="preserve">5,5 </t>
  </si>
  <si>
    <t>23,6</t>
  </si>
  <si>
    <t>32,7</t>
  </si>
  <si>
    <t xml:space="preserve">8,2 </t>
  </si>
  <si>
    <t>53,2</t>
  </si>
  <si>
    <t xml:space="preserve">3,9 </t>
  </si>
  <si>
    <t>62,8</t>
  </si>
  <si>
    <t xml:space="preserve">9,8 </t>
  </si>
  <si>
    <t>74,7</t>
  </si>
  <si>
    <t xml:space="preserve">11,3 </t>
  </si>
  <si>
    <t>100,8</t>
  </si>
  <si>
    <t xml:space="preserve">12,3 </t>
  </si>
  <si>
    <t>119,7</t>
  </si>
  <si>
    <t>143,4</t>
  </si>
  <si>
    <t xml:space="preserve">14,8 </t>
  </si>
  <si>
    <t>172,8</t>
  </si>
  <si>
    <t>2 08,8</t>
  </si>
  <si>
    <t xml:space="preserve">18,1 </t>
  </si>
  <si>
    <t>2 56,1</t>
  </si>
  <si>
    <t xml:space="preserve">19,5 </t>
  </si>
  <si>
    <t>2 97,3</t>
  </si>
  <si>
    <t>diametro nominal en in</t>
  </si>
  <si>
    <t>diametro interior mm</t>
  </si>
  <si>
    <t>area interior mm</t>
  </si>
  <si>
    <t>DIAMETRO EXTERIOR mm</t>
  </si>
  <si>
    <t>metal. Pesada</t>
  </si>
  <si>
    <t>metal. Liviana</t>
  </si>
  <si>
    <t>P.V.C</t>
  </si>
  <si>
    <t>ILUMINACIÓN 1</t>
  </si>
  <si>
    <t>ILUMINACIÓN 2</t>
  </si>
  <si>
    <t>ILUMINACIÓN 4</t>
  </si>
  <si>
    <t>ILUMINACIÓN 3</t>
  </si>
  <si>
    <t>TOMAS 1</t>
  </si>
  <si>
    <t>TOMAS 2</t>
  </si>
  <si>
    <t>TOMAS 3</t>
  </si>
  <si>
    <t>TOMAS 4</t>
  </si>
  <si>
    <t>ROPAS</t>
  </si>
  <si>
    <t>COCINA</t>
  </si>
  <si>
    <t>Según tabla No 1 del Capítulo 9 NTC2050, Porcentaje de la sección transversal</t>
  </si>
  <si>
    <t>en tubos conduit y tuberías, para el llenado de conductores</t>
  </si>
  <si>
    <t xml:space="preserve">Número de conductores </t>
  </si>
  <si>
    <t>Más de 2</t>
  </si>
  <si>
    <t xml:space="preserve">Todos los tipos de conductores </t>
  </si>
  <si>
    <t>TOTAL AP</t>
  </si>
  <si>
    <t>CANTIDAD DE CUENTAS</t>
  </si>
  <si>
    <t>N° DE CUENTAS</t>
  </si>
  <si>
    <t>ESTRATO</t>
  </si>
  <si>
    <t>TIPO DE CARGA</t>
  </si>
  <si>
    <t>CARGA APTMOS KVA</t>
  </si>
  <si>
    <t>AREAS COMUNES KVA</t>
  </si>
  <si>
    <t>NÚMERO DE
USUARIOS</t>
  </si>
  <si>
    <t>ESTRATO 
(kVA/Usu.)
(kVA)</t>
  </si>
  <si>
    <t>ESTRATO 2
(kVA/Usu.)
(kVA)</t>
  </si>
  <si>
    <t>ESTRATO 3
(kVA/Usu.)
(kVA)</t>
  </si>
  <si>
    <t>ESTRATO 4
(kVA/Usu.)
(kVA)</t>
  </si>
  <si>
    <t>ESTRATO 5-6
(kVA/Usu.)
(kVA)</t>
  </si>
  <si>
    <t>Dm %</t>
  </si>
  <si>
    <t>CARGA DIVERSIFICADA</t>
  </si>
  <si>
    <t>AREAS COMUNES</t>
  </si>
  <si>
    <t>CARGA     HP</t>
  </si>
  <si>
    <t>CARGA    KVA</t>
  </si>
  <si>
    <t>ASENSOR</t>
  </si>
  <si>
    <t>BOMBA</t>
  </si>
  <si>
    <t>HIDROFLO</t>
  </si>
  <si>
    <t>PTOS. FIJOS</t>
  </si>
  <si>
    <t>SOTANO</t>
  </si>
  <si>
    <t>Parametros de estructura y acometida</t>
  </si>
  <si>
    <t>Ciudad</t>
  </si>
  <si>
    <t>Duitama</t>
  </si>
  <si>
    <t>NC</t>
  </si>
  <si>
    <t>DDT</t>
  </si>
  <si>
    <t>Latitud</t>
  </si>
  <si>
    <t>Longitud</t>
  </si>
  <si>
    <t>Densidad promedio</t>
  </si>
  <si>
    <t>Cartagena</t>
  </si>
  <si>
    <t>Corozal</t>
  </si>
  <si>
    <t>El Banco</t>
  </si>
  <si>
    <t>Magangue</t>
  </si>
  <si>
    <t>Montería</t>
  </si>
  <si>
    <t>Quibdo</t>
  </si>
  <si>
    <t>Santa Marta</t>
  </si>
  <si>
    <t>Tumaco</t>
  </si>
  <si>
    <t>Turbo</t>
  </si>
  <si>
    <t>Valledupar</t>
  </si>
  <si>
    <t>Riohacha</t>
  </si>
  <si>
    <t>Armenia</t>
  </si>
  <si>
    <t>Barranca</t>
  </si>
  <si>
    <t>Bogota</t>
  </si>
  <si>
    <t>Bucaramanga</t>
  </si>
  <si>
    <t>Cali</t>
  </si>
  <si>
    <t>Cúcuta</t>
  </si>
  <si>
    <t>Girardot</t>
  </si>
  <si>
    <t>Ibagué</t>
  </si>
  <si>
    <t>Ipiales</t>
  </si>
  <si>
    <t>Manizales</t>
  </si>
  <si>
    <t>Medellín</t>
  </si>
  <si>
    <t>Neiva</t>
  </si>
  <si>
    <t>Ocaña</t>
  </si>
  <si>
    <t>Pasto</t>
  </si>
  <si>
    <t>Pereira</t>
  </si>
  <si>
    <t>Popayán</t>
  </si>
  <si>
    <t>Remedios</t>
  </si>
  <si>
    <t>Villavicencio</t>
  </si>
  <si>
    <t>Bagre</t>
  </si>
  <si>
    <t>Samaná</t>
  </si>
  <si>
    <t>Esructura principal</t>
  </si>
  <si>
    <t>Largo estructura</t>
  </si>
  <si>
    <t>Ancho estructura</t>
  </si>
  <si>
    <t>Alto estructura</t>
  </si>
  <si>
    <t>Area Efectiva</t>
  </si>
  <si>
    <t>Localización relativa</t>
  </si>
  <si>
    <t xml:space="preserve">Objeto rodeado de objetos o árboles de igual altura o menor </t>
  </si>
  <si>
    <t>cd</t>
  </si>
  <si>
    <t>ND</t>
  </si>
  <si>
    <t xml:space="preserve">Localización relativa </t>
  </si>
  <si>
    <t>Cd</t>
  </si>
  <si>
    <t xml:space="preserve">Objeto rodeado de objetos o árboles más altos </t>
  </si>
  <si>
    <t xml:space="preserve">Objeto aislado: sin objetos en la vecindad </t>
  </si>
  <si>
    <t xml:space="preserve">Objeto aislado: en la cima de una colina o elevación </t>
  </si>
  <si>
    <t xml:space="preserve">Tipo de transformador </t>
  </si>
  <si>
    <t>Ct</t>
  </si>
  <si>
    <t>Transformador con devanado primario y secundario desacoplados eléctricamente</t>
  </si>
  <si>
    <t>Auto transformador</t>
  </si>
  <si>
    <t>Sin transformador</t>
  </si>
  <si>
    <t>ACOMETIDA</t>
  </si>
  <si>
    <t>AEREA</t>
  </si>
  <si>
    <t>SUBTERRANEA</t>
  </si>
  <si>
    <t>AMBIENTE</t>
  </si>
  <si>
    <t>Ce</t>
  </si>
  <si>
    <t>Edificaciones de más de 20 m de altura</t>
  </si>
  <si>
    <t>Edificaciones entre 10 m y 20 m de altura</t>
  </si>
  <si>
    <t>Edificaciones menores a 10 m de altura</t>
  </si>
  <si>
    <t>RURAL</t>
  </si>
  <si>
    <t>Largo adyacente</t>
  </si>
  <si>
    <t>Ancho adyacente</t>
  </si>
  <si>
    <t>Alto adyacente</t>
  </si>
  <si>
    <t>Area de influencia</t>
  </si>
  <si>
    <t>ct</t>
  </si>
  <si>
    <t>Nda</t>
  </si>
  <si>
    <t>Factor de Localizacion</t>
  </si>
  <si>
    <t>Esructura Adyacente</t>
  </si>
  <si>
    <t>Area influencia</t>
  </si>
  <si>
    <t>Am - Ad</t>
  </si>
  <si>
    <t>Nm</t>
  </si>
  <si>
    <t>Cerca a la Esructura Principal</t>
  </si>
  <si>
    <t>Nl</t>
  </si>
  <si>
    <t>Longitud Acometida</t>
  </si>
  <si>
    <t>Altura Estructura</t>
  </si>
  <si>
    <t>Altura De Ingreso Acometida</t>
  </si>
  <si>
    <t>Altura Sobre La Tierra De Acometida</t>
  </si>
  <si>
    <t>Resistividad</t>
  </si>
  <si>
    <t xml:space="preserve">Tipo De Acometida </t>
  </si>
  <si>
    <t>Area Efectiva Acometida</t>
  </si>
  <si>
    <t>Factor De Localizacion</t>
  </si>
  <si>
    <t xml:space="preserve">Tipo De Transformador </t>
  </si>
  <si>
    <t>Cuando el valor de Lc es desconocido se puede asumir, Lc = 1 000 m;</t>
  </si>
  <si>
    <t>Para cables subterráneos con puesta a tierra terminada en malla, se puede asumir un valor de el área efectiva equivalente Ai = AI = 0 como área efectiva.</t>
  </si>
  <si>
    <t>Cuando la resistividad de terreno es desconocido se puede asumir ρ = 500 Ω.m</t>
  </si>
  <si>
    <t>.</t>
  </si>
  <si>
    <t>Ai</t>
  </si>
  <si>
    <t>Ni</t>
  </si>
  <si>
    <t>Ambiente</t>
  </si>
  <si>
    <t>LT</t>
  </si>
  <si>
    <t>Números De Posibles Victimas</t>
  </si>
  <si>
    <t xml:space="preserve">Número De Usuarios </t>
  </si>
  <si>
    <t xml:space="preserve">Tiempo De Permanencia </t>
  </si>
  <si>
    <t>Acometidas De Servicio Proteger Energía Eléctrica</t>
  </si>
  <si>
    <t>Cercano A La Acometida</t>
  </si>
  <si>
    <t>Parámetros De Perdida</t>
  </si>
  <si>
    <t xml:space="preserve">Agricultura, concreto </t>
  </si>
  <si>
    <t>RA</t>
  </si>
  <si>
    <t>LA</t>
  </si>
  <si>
    <t>Perdidas De Vida Humana Por Tensiones De Contacto Fuera De La Estructura - La</t>
  </si>
  <si>
    <t>Tipo De Superficie</t>
  </si>
  <si>
    <t>Tipo de Superficie</t>
  </si>
  <si>
    <t xml:space="preserve">Resistencia de contacto [KΩ] (1) </t>
  </si>
  <si>
    <t>ra y ru</t>
  </si>
  <si>
    <t xml:space="preserve">≤ 1 </t>
  </si>
  <si>
    <t xml:space="preserve">Mármol, cerámica </t>
  </si>
  <si>
    <t>1--10</t>
  </si>
  <si>
    <t>Gravilla, tapete</t>
  </si>
  <si>
    <t>10 -- 100</t>
  </si>
  <si>
    <t>Asfalto, madera, linóleo</t>
  </si>
  <si>
    <t xml:space="preserve">≥ 100 </t>
  </si>
  <si>
    <r>
      <rPr>
        <b/>
        <sz val="11"/>
        <color theme="1"/>
        <rFont val="Calibri"/>
        <family val="2"/>
        <scheme val="minor"/>
      </rPr>
      <t>NOTA :</t>
    </r>
    <r>
      <rPr>
        <sz val="11"/>
        <color theme="1"/>
        <rFont val="Calibri"/>
        <family val="2"/>
        <scheme val="minor"/>
      </rPr>
      <t xml:space="preserve"> (1) Valores medidos entre 400 cm2 electrodos con una fuerza de 500 N y un punto infinito</t>
    </r>
  </si>
  <si>
    <t>RP</t>
  </si>
  <si>
    <t>Bajo</t>
  </si>
  <si>
    <t>RF</t>
  </si>
  <si>
    <t>Nivel bajo de pánico (Edificación de dos pisos con un número no mayor a 100 personas)</t>
  </si>
  <si>
    <t>Hz</t>
  </si>
  <si>
    <t>LB</t>
  </si>
  <si>
    <t>Perdidas De Vida Humana Por Fuego O Explosion Dentro Estructura - Lb</t>
  </si>
  <si>
    <t>Medida De Prevencion</t>
  </si>
  <si>
    <t>Riesgo De Fuego</t>
  </si>
  <si>
    <t>Clase De Riesgo</t>
  </si>
  <si>
    <t>Clase especial de riesgo</t>
  </si>
  <si>
    <t xml:space="preserve"> hz</t>
  </si>
  <si>
    <t xml:space="preserve">Sin riesgo especial </t>
  </si>
  <si>
    <t>Nivel medio de pánico (Edificaciones diseñadas para eventos culturales o deportivos, con unnúmero de participantes entre 100 y 1 000 personas)</t>
  </si>
  <si>
    <t xml:space="preserve">Dificultad de evacuación (edificación con personas inmovilizadas) </t>
  </si>
  <si>
    <t xml:space="preserve">Nivel alto de pánico (Edificaciones diseñadas para eventos culturales o deportivos, con un número de participantes superiores a 1 000 personas) </t>
  </si>
  <si>
    <t xml:space="preserve">Peligro por ambiente alrededor </t>
  </si>
  <si>
    <t xml:space="preserve">Contaminación del ambiente alrededor </t>
  </si>
  <si>
    <t>Riesgo de fuego</t>
  </si>
  <si>
    <t>rf</t>
  </si>
  <si>
    <t>Explosión</t>
  </si>
  <si>
    <t>Alto</t>
  </si>
  <si>
    <t>Ordinario</t>
  </si>
  <si>
    <t>Ninguno</t>
  </si>
  <si>
    <t xml:space="preserve">Medida de prevención </t>
  </si>
  <si>
    <t>r p</t>
  </si>
  <si>
    <t>Sin medida de prevención</t>
  </si>
  <si>
    <r>
      <rPr>
        <b/>
        <i/>
        <sz val="11"/>
        <color theme="1"/>
        <rFont val="Calibri"/>
        <family val="2"/>
        <scheme val="minor"/>
      </rPr>
      <t>NOTA</t>
    </r>
    <r>
      <rPr>
        <sz val="11"/>
        <color theme="1"/>
        <rFont val="Calibri"/>
        <family val="2"/>
        <scheme val="minor"/>
      </rPr>
      <t xml:space="preserve"> Para el propósito de cálculo se puede asumir</t>
    </r>
  </si>
  <si>
    <r>
      <rPr>
        <b/>
        <sz val="11"/>
        <color theme="1"/>
        <rFont val="Calibri"/>
        <family val="2"/>
        <scheme val="minor"/>
      </rPr>
      <t>NOTA:</t>
    </r>
    <r>
      <rPr>
        <sz val="11"/>
        <color theme="1"/>
        <rFont val="Calibri"/>
        <family val="2"/>
        <scheme val="minor"/>
      </rPr>
      <t>(*) Solo si esta protegida contra sobretensiones o otros daños y tiempo de respuesta de los bomberos menor a 10 min.Si más de una de estas medidas de provisión se aplican, es necesario tomar el valor mas bajo entre los calculados individualmente. En una estructura con riesgo de explosión rp = 1.</t>
    </r>
  </si>
  <si>
    <t>Tipo de servicio</t>
  </si>
  <si>
    <t>LF</t>
  </si>
  <si>
    <t>L0</t>
  </si>
  <si>
    <t>GAS, ACUEDUCTO</t>
  </si>
  <si>
    <t>TV, TLC, SUMINISTRO DE POTENCIA</t>
  </si>
  <si>
    <t>NO</t>
  </si>
  <si>
    <r>
      <rPr>
        <b/>
        <sz val="11"/>
        <color theme="1"/>
        <rFont val="Calibri"/>
        <family val="2"/>
        <scheme val="minor"/>
      </rPr>
      <t>NOTA:</t>
    </r>
    <r>
      <rPr>
        <sz val="11"/>
        <color theme="1"/>
        <rFont val="Calibri"/>
        <family val="2"/>
        <scheme val="minor"/>
      </rPr>
      <t xml:space="preserve"> SOLO SI NO SE TIENE LOS VALORES DE NP, NT, T.(LT)</t>
    </r>
  </si>
  <si>
    <t xml:space="preserve">Tipo de pérdida </t>
  </si>
  <si>
    <t>RT (y - 1)</t>
  </si>
  <si>
    <t xml:space="preserve">Pérdida de vidas o lesiones permanentes </t>
  </si>
  <si>
    <t xml:space="preserve">Pérdida de servicio público </t>
  </si>
  <si>
    <t xml:space="preserve">Pérdida de patrimonio Cultural </t>
  </si>
  <si>
    <t xml:space="preserve">Tipo de Daño </t>
  </si>
  <si>
    <t xml:space="preserve">Lesiones a seres
vivos </t>
  </si>
  <si>
    <t>Daños físicos</t>
  </si>
  <si>
    <t>Fallas de sistemas
eléctricos y
electrónicos</t>
  </si>
  <si>
    <t xml:space="preserve">Componente de Riesgo </t>
  </si>
  <si>
    <t>Tipo de
Riesgo</t>
  </si>
  <si>
    <r>
      <t>R</t>
    </r>
    <r>
      <rPr>
        <b/>
        <sz val="6"/>
        <color rgb="FF000000"/>
        <rFont val="Arial-BoldMT"/>
      </rPr>
      <t xml:space="preserve">s </t>
    </r>
  </si>
  <si>
    <r>
      <t>R</t>
    </r>
    <r>
      <rPr>
        <b/>
        <sz val="6"/>
        <color rgb="FF000000"/>
        <rFont val="Arial-BoldMT"/>
      </rPr>
      <t xml:space="preserve">F </t>
    </r>
  </si>
  <si>
    <r>
      <t>R</t>
    </r>
    <r>
      <rPr>
        <b/>
        <sz val="6"/>
        <color rgb="FF000000"/>
        <rFont val="Arial-BoldMT"/>
      </rPr>
      <t>O</t>
    </r>
  </si>
  <si>
    <r>
      <t>R</t>
    </r>
    <r>
      <rPr>
        <sz val="6"/>
        <color rgb="FF000000"/>
        <rFont val="ArialMT"/>
      </rPr>
      <t xml:space="preserve">1 
</t>
    </r>
    <r>
      <rPr>
        <sz val="9"/>
        <color rgb="FF000000"/>
        <rFont val="ArialMT"/>
      </rPr>
      <t>R</t>
    </r>
    <r>
      <rPr>
        <sz val="6"/>
        <color rgb="FF000000"/>
        <rFont val="ArialMT"/>
      </rPr>
      <t xml:space="preserve">2 
</t>
    </r>
    <r>
      <rPr>
        <sz val="9"/>
        <color rgb="FF000000"/>
        <rFont val="ArialMT"/>
      </rPr>
      <t>R</t>
    </r>
    <r>
      <rPr>
        <sz val="6"/>
        <color rgb="FF000000"/>
        <rFont val="ArialMT"/>
      </rPr>
      <t xml:space="preserve">3 
</t>
    </r>
    <r>
      <rPr>
        <sz val="9"/>
        <color rgb="FF000000"/>
        <rFont val="ArialMT"/>
      </rPr>
      <t>R</t>
    </r>
    <r>
      <rPr>
        <sz val="6"/>
        <color rgb="FF000000"/>
        <rFont val="ArialMT"/>
      </rPr>
      <t xml:space="preserve">4 </t>
    </r>
  </si>
  <si>
    <r>
      <t>R</t>
    </r>
    <r>
      <rPr>
        <sz val="6"/>
        <color rgb="FF000000"/>
        <rFont val="ArialMT"/>
      </rPr>
      <t xml:space="preserve">A + </t>
    </r>
    <r>
      <rPr>
        <sz val="9"/>
        <color rgb="FF000000"/>
        <rFont val="ArialMT"/>
      </rPr>
      <t>R</t>
    </r>
    <r>
      <rPr>
        <sz val="6"/>
        <color rgb="FF000000"/>
        <rFont val="ArialMT"/>
      </rPr>
      <t xml:space="preserve">U 
</t>
    </r>
    <r>
      <rPr>
        <sz val="9"/>
        <color rgb="FF000000"/>
        <rFont val="ArialMT"/>
      </rPr>
      <t>- 
- 
R</t>
    </r>
    <r>
      <rPr>
        <sz val="6"/>
        <color rgb="FF000000"/>
        <rFont val="ArialMT"/>
      </rPr>
      <t xml:space="preserve">A + </t>
    </r>
    <r>
      <rPr>
        <sz val="9"/>
        <color rgb="FF000000"/>
        <rFont val="ArialMT"/>
      </rPr>
      <t>R</t>
    </r>
    <r>
      <rPr>
        <sz val="6"/>
        <color rgb="FF000000"/>
        <rFont val="ArialMT"/>
      </rPr>
      <t xml:space="preserve">U (2) </t>
    </r>
  </si>
  <si>
    <r>
      <t>R</t>
    </r>
    <r>
      <rPr>
        <sz val="6"/>
        <color rgb="FF000000"/>
        <rFont val="ArialMT"/>
      </rPr>
      <t xml:space="preserve">B+ </t>
    </r>
    <r>
      <rPr>
        <sz val="9"/>
        <color rgb="FF000000"/>
        <rFont val="ArialMT"/>
      </rPr>
      <t>R</t>
    </r>
    <r>
      <rPr>
        <sz val="6"/>
        <color rgb="FF000000"/>
        <rFont val="ArialMT"/>
      </rPr>
      <t xml:space="preserve">V 
</t>
    </r>
    <r>
      <rPr>
        <sz val="9"/>
        <color rgb="FF000000"/>
        <rFont val="ArialMT"/>
      </rPr>
      <t>R</t>
    </r>
    <r>
      <rPr>
        <sz val="6"/>
        <color rgb="FF000000"/>
        <rFont val="ArialMT"/>
      </rPr>
      <t xml:space="preserve">B+ </t>
    </r>
    <r>
      <rPr>
        <sz val="9"/>
        <color rgb="FF000000"/>
        <rFont val="ArialMT"/>
      </rPr>
      <t>R</t>
    </r>
    <r>
      <rPr>
        <sz val="6"/>
        <color rgb="FF000000"/>
        <rFont val="ArialMT"/>
      </rPr>
      <t xml:space="preserve">V 
</t>
    </r>
    <r>
      <rPr>
        <sz val="9"/>
        <color rgb="FF000000"/>
        <rFont val="ArialMT"/>
      </rPr>
      <t>R</t>
    </r>
    <r>
      <rPr>
        <sz val="6"/>
        <color rgb="FF000000"/>
        <rFont val="ArialMT"/>
      </rPr>
      <t xml:space="preserve">B+ </t>
    </r>
    <r>
      <rPr>
        <sz val="9"/>
        <color rgb="FF000000"/>
        <rFont val="ArialMT"/>
      </rPr>
      <t>R</t>
    </r>
    <r>
      <rPr>
        <sz val="6"/>
        <color rgb="FF000000"/>
        <rFont val="ArialMT"/>
      </rPr>
      <t xml:space="preserve">V 
</t>
    </r>
    <r>
      <rPr>
        <sz val="9"/>
        <color rgb="FF000000"/>
        <rFont val="ArialMT"/>
      </rPr>
      <t>R</t>
    </r>
    <r>
      <rPr>
        <sz val="6"/>
        <color rgb="FF000000"/>
        <rFont val="ArialMT"/>
      </rPr>
      <t xml:space="preserve">B+ </t>
    </r>
    <r>
      <rPr>
        <sz val="9"/>
        <color rgb="FF000000"/>
        <rFont val="ArialMT"/>
      </rPr>
      <t>R</t>
    </r>
    <r>
      <rPr>
        <sz val="6"/>
        <color rgb="FF000000"/>
        <rFont val="ArialMT"/>
      </rPr>
      <t xml:space="preserve">V </t>
    </r>
  </si>
  <si>
    <r>
      <t>R</t>
    </r>
    <r>
      <rPr>
        <sz val="6"/>
        <color rgb="FF000000"/>
        <rFont val="ArialMT"/>
      </rPr>
      <t xml:space="preserve">C + </t>
    </r>
    <r>
      <rPr>
        <sz val="9"/>
        <color rgb="FF000000"/>
        <rFont val="ArialMT"/>
      </rPr>
      <t>R</t>
    </r>
    <r>
      <rPr>
        <sz val="6"/>
        <color rgb="FF000000"/>
        <rFont val="ArialMT"/>
      </rPr>
      <t xml:space="preserve">M + </t>
    </r>
    <r>
      <rPr>
        <sz val="9"/>
        <color rgb="FF000000"/>
        <rFont val="ArialMT"/>
      </rPr>
      <t>R</t>
    </r>
    <r>
      <rPr>
        <sz val="6"/>
        <color rgb="FF000000"/>
        <rFont val="ArialMT"/>
      </rPr>
      <t xml:space="preserve">W + </t>
    </r>
    <r>
      <rPr>
        <sz val="9"/>
        <color rgb="FF000000"/>
        <rFont val="ArialMT"/>
      </rPr>
      <t>R</t>
    </r>
    <r>
      <rPr>
        <sz val="6"/>
        <color rgb="FF000000"/>
        <rFont val="ArialMT"/>
      </rPr>
      <t xml:space="preserve">Z (1)
</t>
    </r>
    <r>
      <rPr>
        <sz val="9"/>
        <color rgb="FF000000"/>
        <rFont val="ArialMT"/>
      </rPr>
      <t>R</t>
    </r>
    <r>
      <rPr>
        <sz val="6"/>
        <color rgb="FF000000"/>
        <rFont val="ArialMT"/>
      </rPr>
      <t xml:space="preserve">C + </t>
    </r>
    <r>
      <rPr>
        <sz val="9"/>
        <color rgb="FF000000"/>
        <rFont val="ArialMT"/>
      </rPr>
      <t>R</t>
    </r>
    <r>
      <rPr>
        <sz val="6"/>
        <color rgb="FF000000"/>
        <rFont val="ArialMT"/>
      </rPr>
      <t xml:space="preserve">M + </t>
    </r>
    <r>
      <rPr>
        <sz val="9"/>
        <color rgb="FF000000"/>
        <rFont val="ArialMT"/>
      </rPr>
      <t>R</t>
    </r>
    <r>
      <rPr>
        <sz val="6"/>
        <color rgb="FF000000"/>
        <rFont val="ArialMT"/>
      </rPr>
      <t xml:space="preserve">W + </t>
    </r>
    <r>
      <rPr>
        <sz val="9"/>
        <color rgb="FF000000"/>
        <rFont val="ArialMT"/>
      </rPr>
      <t>R</t>
    </r>
    <r>
      <rPr>
        <sz val="6"/>
        <color rgb="FF000000"/>
        <rFont val="ArialMT"/>
      </rPr>
      <t xml:space="preserve">Z
</t>
    </r>
    <r>
      <rPr>
        <sz val="9"/>
        <color rgb="FF000000"/>
        <rFont val="ArialMT"/>
      </rPr>
      <t>-
R</t>
    </r>
    <r>
      <rPr>
        <sz val="6"/>
        <color rgb="FF000000"/>
        <rFont val="ArialMT"/>
      </rPr>
      <t xml:space="preserve">C + </t>
    </r>
    <r>
      <rPr>
        <sz val="9"/>
        <color rgb="FF000000"/>
        <rFont val="ArialMT"/>
      </rPr>
      <t>R</t>
    </r>
    <r>
      <rPr>
        <sz val="6"/>
        <color rgb="FF000000"/>
        <rFont val="ArialMT"/>
      </rPr>
      <t xml:space="preserve">M + </t>
    </r>
    <r>
      <rPr>
        <sz val="9"/>
        <color rgb="FF000000"/>
        <rFont val="ArialMT"/>
      </rPr>
      <t>R</t>
    </r>
    <r>
      <rPr>
        <sz val="6"/>
        <color rgb="FF000000"/>
        <rFont val="ArialMT"/>
      </rPr>
      <t xml:space="preserve">W + </t>
    </r>
    <r>
      <rPr>
        <sz val="9"/>
        <color rgb="FF000000"/>
        <rFont val="ArialMT"/>
      </rPr>
      <t>R</t>
    </r>
    <r>
      <rPr>
        <sz val="6"/>
        <color rgb="FF000000"/>
        <rFont val="ArialMT"/>
      </rPr>
      <t>Z</t>
    </r>
  </si>
  <si>
    <r>
      <t xml:space="preserve">(1) </t>
    </r>
    <r>
      <rPr>
        <sz val="9"/>
        <color rgb="FF000000"/>
        <rFont val="ArialMT"/>
      </rPr>
      <t xml:space="preserve">Únicamente para estructuras con riesgo de explosión, o para hospitales u otras estructuras en
donde la falla de sistemas internos ponga en peligro la vida humana.
</t>
    </r>
    <r>
      <rPr>
        <sz val="6"/>
        <color rgb="FF000000"/>
        <rFont val="ArialMT"/>
      </rPr>
      <t xml:space="preserve">(2) </t>
    </r>
    <r>
      <rPr>
        <sz val="9"/>
        <color rgb="FF000000"/>
        <rFont val="ArialMT"/>
      </rPr>
      <t>Únicamente para propiedades en donde pueda haber pérdida de animales</t>
    </r>
  </si>
  <si>
    <t>R1</t>
  </si>
  <si>
    <t>R2</t>
  </si>
  <si>
    <t>R3</t>
  </si>
  <si>
    <t>R4</t>
  </si>
  <si>
    <t xml:space="preserve">Extintores automáticos; instalaciones de alarma automática (*) </t>
  </si>
  <si>
    <t xml:space="preserve">Extintores manuales; instalaciones de alarma manual;hidrantes, compartimientos contra fuego; rutas de evacuación </t>
  </si>
  <si>
    <t>RU</t>
  </si>
  <si>
    <t>LU</t>
  </si>
  <si>
    <t>LV</t>
  </si>
  <si>
    <t>LC</t>
  </si>
  <si>
    <t>LM</t>
  </si>
  <si>
    <t>LW</t>
  </si>
  <si>
    <t>LZ</t>
  </si>
  <si>
    <t>L2</t>
  </si>
  <si>
    <t>L4</t>
  </si>
  <si>
    <t>Perdidas De Vida Humana Por Tensión Dentro Estructura-LU</t>
  </si>
  <si>
    <t>Perdidas De Vida Humana Por Ier En Estructura - Lc</t>
  </si>
  <si>
    <t>Perdidas De Vida Humana Por Ier Cercana A La Estructura - Lm</t>
  </si>
  <si>
    <t>Perdidas De Vida Humana Por Ier Sobre La Acometida - Lw</t>
  </si>
  <si>
    <t>Perdidas De Vida Humana Por Ser Cercana A La Acometida - Lz</t>
  </si>
  <si>
    <t>Perdida Inaceptable  Del Servicio Publico</t>
  </si>
  <si>
    <t>Perdida Inaceptable  Patrimonio Cultural</t>
  </si>
  <si>
    <t>Perdidas Economicas</t>
  </si>
  <si>
    <t>Valor Economico Aceptable</t>
  </si>
  <si>
    <t>Bien O Interes Cultural</t>
  </si>
  <si>
    <t>Servicio Publico Indispensable</t>
  </si>
  <si>
    <t>Perdidas De Vida Humana Por Daños Fisicos En Acometida-Lv</t>
  </si>
  <si>
    <t>SI</t>
  </si>
  <si>
    <t>RB</t>
  </si>
  <si>
    <t>RC</t>
  </si>
  <si>
    <t>RM</t>
  </si>
  <si>
    <t>RV</t>
  </si>
  <si>
    <t>RW</t>
  </si>
  <si>
    <t>RZ</t>
  </si>
  <si>
    <t>Componentes De Riesgo De Estructura</t>
  </si>
  <si>
    <t>Componente</t>
  </si>
  <si>
    <t>Valor</t>
  </si>
  <si>
    <t>PA lesiones a seres vivos por tension de paso o contacto</t>
  </si>
  <si>
    <t xml:space="preserve">Medida de Protección </t>
  </si>
  <si>
    <t>PA</t>
  </si>
  <si>
    <t xml:space="preserve">Sin medidas de protección </t>
  </si>
  <si>
    <t xml:space="preserve">Aislamiento eléctrico de bajantes expuestas. (Ej. al menos 3 mm de polietileno) </t>
  </si>
  <si>
    <t xml:space="preserve">Equipotencialización efectiva del suelo </t>
  </si>
  <si>
    <t xml:space="preserve">Avisos de advertencia </t>
  </si>
  <si>
    <r>
      <rPr>
        <b/>
        <sz val="11"/>
        <color theme="1"/>
        <rFont val="Calibri"/>
        <family val="2"/>
        <scheme val="minor"/>
      </rPr>
      <t>NOTA</t>
    </r>
    <r>
      <rPr>
        <sz val="11"/>
        <color theme="1"/>
        <rFont val="Calibri"/>
        <family val="2"/>
        <scheme val="minor"/>
      </rPr>
      <t xml:space="preserve"> Si más de una medida de protección ha sido tomada, el valor de PA es producto de los valores correspondientes según esta tabla.</t>
    </r>
  </si>
  <si>
    <t>PB probabilidad de daño a la estructura por descargas directas</t>
  </si>
  <si>
    <t xml:space="preserve">Características de la estructura </t>
  </si>
  <si>
    <t xml:space="preserve">Nivel de protección contra rayos </t>
  </si>
  <si>
    <r>
      <t>P</t>
    </r>
    <r>
      <rPr>
        <b/>
        <sz val="6"/>
        <color rgb="FF000000"/>
        <rFont val="Arial-BoldMT"/>
      </rPr>
      <t>B</t>
    </r>
  </si>
  <si>
    <t xml:space="preserve">No Protegida </t>
  </si>
  <si>
    <t xml:space="preserve">-- </t>
  </si>
  <si>
    <t>Estructura protegida 4</t>
  </si>
  <si>
    <t xml:space="preserve">IV </t>
  </si>
  <si>
    <t>Estructura protegida 3</t>
  </si>
  <si>
    <t xml:space="preserve">III </t>
  </si>
  <si>
    <t>Estructura protegida 2</t>
  </si>
  <si>
    <t xml:space="preserve">II </t>
  </si>
  <si>
    <t>Estructura protegida 1</t>
  </si>
  <si>
    <t xml:space="preserve">I </t>
  </si>
  <si>
    <t xml:space="preserve">Estructura con un sistema de captación aéreo de acuerdo al nivel I y donde se usa el armazón de concreto reforzado como el sistema de bajantes. </t>
  </si>
  <si>
    <t>Estructura con techo metálico o un sistema de captación aéreo con protección completa de cualquier instalación el techo contra impactos directos de rayo y donde se usa el armazón de concreto reforzado como el sistema de bajantes.</t>
  </si>
  <si>
    <r>
      <rPr>
        <b/>
        <sz val="9"/>
        <color rgb="FF000000"/>
        <rFont val="ArialMT"/>
      </rPr>
      <t>NOTA</t>
    </r>
    <r>
      <rPr>
        <sz val="9"/>
        <color rgb="FF000000"/>
        <rFont val="ArialMT"/>
      </rPr>
      <t xml:space="preserve"> Los valores de probabilidad descritos en la tabla son posibles siempre y cuando el sistema de
protección contra rayos cumpla con los criterios de NTC 4552.</t>
    </r>
  </si>
  <si>
    <t>PC probabilidad de daño de sistemas internos por impacto directo a la estructura</t>
  </si>
  <si>
    <r>
      <t>P</t>
    </r>
    <r>
      <rPr>
        <b/>
        <i/>
        <sz val="6"/>
        <color rgb="FF000000"/>
        <rFont val="Arial-ItalicMT"/>
      </rPr>
      <t xml:space="preserve">C </t>
    </r>
    <r>
      <rPr>
        <b/>
        <i/>
        <sz val="9"/>
        <color rgb="FF000000"/>
        <rFont val="Arial-ItalicMT"/>
      </rPr>
      <t>= P</t>
    </r>
    <r>
      <rPr>
        <b/>
        <i/>
        <sz val="6"/>
        <color rgb="FF000000"/>
        <rFont val="Arial-ItalicMT"/>
      </rPr>
      <t>SPD</t>
    </r>
  </si>
  <si>
    <t xml:space="preserve">Sin sistema coordinado de protección </t>
  </si>
  <si>
    <t xml:space="preserve">III - IV </t>
  </si>
  <si>
    <t>0,005 - 0,001</t>
  </si>
  <si>
    <r>
      <t>Son posibles valores menores de P</t>
    </r>
    <r>
      <rPr>
        <sz val="6"/>
        <color rgb="FF000000"/>
        <rFont val="ArialMT"/>
      </rPr>
      <t xml:space="preserve">C </t>
    </r>
    <r>
      <rPr>
        <sz val="9"/>
        <color rgb="FF000000"/>
        <rFont val="ArialMT"/>
      </rPr>
      <t>en el caso en que los dispositivos de protección tengan mejores características de protección (mayor capacidad de corriente soportable, menor nivel de protección, etc.) comparado con requerimientos definidos para el Nivel I de Protección contra Rayos.</t>
    </r>
  </si>
  <si>
    <r>
      <rPr>
        <b/>
        <sz val="9"/>
        <color rgb="FF000000"/>
        <rFont val="ArialMT"/>
      </rPr>
      <t>NOTA</t>
    </r>
    <r>
      <rPr>
        <sz val="9"/>
        <color rgb="FF000000"/>
        <rFont val="ArialMT"/>
      </rPr>
      <t xml:space="preserve"> Solo un sistema coordinado de DPSs es adecuado como medida de reducción de P</t>
    </r>
    <r>
      <rPr>
        <sz val="6"/>
        <color rgb="FF000000"/>
        <rFont val="ArialMT"/>
      </rPr>
      <t xml:space="preserve">C.
</t>
    </r>
    <r>
      <rPr>
        <b/>
        <sz val="9"/>
        <color rgb="FF000000"/>
        <rFont val="ArialMT"/>
      </rPr>
      <t>NOTA</t>
    </r>
    <r>
      <rPr>
        <sz val="9"/>
        <color rgb="FF000000"/>
        <rFont val="ArialMT"/>
      </rPr>
      <t xml:space="preserve"> Sistemas internos apantallados conectados a líneas externas a través de ductos apantallados no
requieren de un sistema coordinado de DPSs.</t>
    </r>
  </si>
  <si>
    <t>PM</t>
  </si>
  <si>
    <r>
      <t>K</t>
    </r>
    <r>
      <rPr>
        <b/>
        <sz val="6"/>
        <color rgb="FF000000"/>
        <rFont val="Arial-BoldMT"/>
      </rPr>
      <t xml:space="preserve">MS1 </t>
    </r>
  </si>
  <si>
    <r>
      <t>P</t>
    </r>
    <r>
      <rPr>
        <b/>
        <sz val="6"/>
        <color rgb="FF000000"/>
        <rFont val="Arial-BoldMT"/>
      </rPr>
      <t>MS</t>
    </r>
  </si>
  <si>
    <r>
      <t xml:space="preserve">≥ </t>
    </r>
    <r>
      <rPr>
        <sz val="9"/>
        <color rgb="FF000000"/>
        <rFont val="ArialMT"/>
      </rPr>
      <t xml:space="preserve">0,4 </t>
    </r>
  </si>
  <si>
    <t xml:space="preserve">0,15 </t>
  </si>
  <si>
    <t xml:space="preserve">0,07 </t>
  </si>
  <si>
    <t xml:space="preserve">0,035 </t>
  </si>
  <si>
    <t xml:space="preserve">0,021 </t>
  </si>
  <si>
    <t xml:space="preserve">0,016 </t>
  </si>
  <si>
    <t xml:space="preserve">0,015 </t>
  </si>
  <si>
    <t xml:space="preserve">0,014 </t>
  </si>
  <si>
    <r>
      <t xml:space="preserve">≤ </t>
    </r>
    <r>
      <rPr>
        <sz val="9"/>
        <color rgb="FF000000"/>
        <rFont val="ArialMT"/>
      </rPr>
      <t xml:space="preserve">0,013 </t>
    </r>
  </si>
  <si>
    <r>
      <t>NOTA Para sistemas internos con equipos con niveles de soportabilidad al
impulso inferiores a los estándar, se asignara un valor de P</t>
    </r>
    <r>
      <rPr>
        <sz val="6"/>
        <color rgb="FF000000"/>
        <rFont val="ArialMT"/>
      </rPr>
      <t xml:space="preserve">MS </t>
    </r>
    <r>
      <rPr>
        <sz val="9"/>
        <color rgb="FF000000"/>
        <rFont val="ArialMT"/>
      </rPr>
      <t>= 1</t>
    </r>
  </si>
  <si>
    <t>PU,V,W, probabilidad de lesiones a seres vivos  a causa de tensiones de toque o paso por
descargas sobre las acometidas de servicio</t>
  </si>
  <si>
    <t>Tipo de acometida</t>
  </si>
  <si>
    <r>
      <t>U</t>
    </r>
    <r>
      <rPr>
        <b/>
        <sz val="6"/>
        <color rgb="FF000000"/>
        <rFont val="Arial-BoldMT"/>
      </rPr>
      <t xml:space="preserve">W
</t>
    </r>
    <r>
      <rPr>
        <b/>
        <sz val="9"/>
        <color rgb="FF000000"/>
        <rFont val="Arial-BoldMT"/>
      </rPr>
      <t>[kV]</t>
    </r>
  </si>
  <si>
    <r>
      <t>5 &lt; R</t>
    </r>
    <r>
      <rPr>
        <b/>
        <sz val="6"/>
        <color rgb="FF000000"/>
        <rFont val="Arial-BoldMT"/>
      </rPr>
      <t xml:space="preserve">s </t>
    </r>
    <r>
      <rPr>
        <sz val="9"/>
        <color rgb="FF000000"/>
        <rFont val="SymbolMT"/>
      </rPr>
      <t xml:space="preserve">≤ </t>
    </r>
    <r>
      <rPr>
        <b/>
        <sz val="9"/>
        <color rgb="FF000000"/>
        <rFont val="Arial-BoldMT"/>
      </rPr>
      <t>20
[</t>
    </r>
    <r>
      <rPr>
        <sz val="9"/>
        <color rgb="FF000000"/>
        <rFont val="SymbolMT"/>
      </rPr>
      <t>Ω</t>
    </r>
    <r>
      <rPr>
        <b/>
        <sz val="9"/>
        <color rgb="FF000000"/>
        <rFont val="Arial-BoldMT"/>
      </rPr>
      <t>/km]</t>
    </r>
  </si>
  <si>
    <r>
      <t xml:space="preserve">1 </t>
    </r>
    <r>
      <rPr>
        <sz val="9"/>
        <color rgb="FF000000"/>
        <rFont val="SymbolMT"/>
      </rPr>
      <t xml:space="preserve">&lt; </t>
    </r>
    <r>
      <rPr>
        <b/>
        <sz val="9"/>
        <color rgb="FF000000"/>
        <rFont val="Arial-BoldMT"/>
      </rPr>
      <t>R</t>
    </r>
    <r>
      <rPr>
        <b/>
        <sz val="6"/>
        <color rgb="FF000000"/>
        <rFont val="Arial-BoldMT"/>
      </rPr>
      <t xml:space="preserve">s </t>
    </r>
    <r>
      <rPr>
        <sz val="9"/>
        <color rgb="FF000000"/>
        <rFont val="SymbolMT"/>
      </rPr>
      <t xml:space="preserve">≤ </t>
    </r>
    <r>
      <rPr>
        <b/>
        <sz val="9"/>
        <color rgb="FF000000"/>
        <rFont val="Arial-BoldMT"/>
      </rPr>
      <t>5
[</t>
    </r>
    <r>
      <rPr>
        <sz val="9"/>
        <color rgb="FF000000"/>
        <rFont val="SymbolMT"/>
      </rPr>
      <t>Ω</t>
    </r>
    <r>
      <rPr>
        <b/>
        <sz val="9"/>
        <color rgb="FF000000"/>
        <rFont val="Arial-BoldMT"/>
      </rPr>
      <t>/km]</t>
    </r>
  </si>
  <si>
    <r>
      <t>R</t>
    </r>
    <r>
      <rPr>
        <b/>
        <sz val="6"/>
        <color rgb="FF000000"/>
        <rFont val="Arial-BoldMT"/>
      </rPr>
      <t xml:space="preserve">s </t>
    </r>
    <r>
      <rPr>
        <sz val="9"/>
        <color rgb="FF000000"/>
        <rFont val="SymbolMT"/>
      </rPr>
      <t xml:space="preserve">≤ </t>
    </r>
    <r>
      <rPr>
        <b/>
        <sz val="9"/>
        <color rgb="FF000000"/>
        <rFont val="Arial-BoldMT"/>
      </rPr>
      <t>1
[</t>
    </r>
    <r>
      <rPr>
        <sz val="9"/>
        <color rgb="FF000000"/>
        <rFont val="SymbolMT"/>
      </rPr>
      <t>Ω</t>
    </r>
    <r>
      <rPr>
        <b/>
        <sz val="9"/>
        <color rgb="FF000000"/>
        <rFont val="Arial-BoldMT"/>
      </rPr>
      <t>/km]</t>
    </r>
  </si>
  <si>
    <t>Cable apantallado D</t>
  </si>
  <si>
    <t>Cable apantallado C</t>
  </si>
  <si>
    <t>Cable apantallado B</t>
  </si>
  <si>
    <t>Cable apantallado A</t>
  </si>
  <si>
    <t xml:space="preserve">Cable NO apantallado </t>
  </si>
  <si>
    <r>
      <t>R</t>
    </r>
    <r>
      <rPr>
        <sz val="6"/>
        <color rgb="FF000000"/>
        <rFont val="ArialMT"/>
      </rPr>
      <t xml:space="preserve">S </t>
    </r>
    <r>
      <rPr>
        <sz val="9"/>
        <color rgb="FF000000"/>
        <rFont val="ArialMT"/>
      </rPr>
      <t>(</t>
    </r>
    <r>
      <rPr>
        <sz val="9"/>
        <color rgb="FF000000"/>
        <rFont val="SymbolMT"/>
      </rPr>
      <t>Ω</t>
    </r>
    <r>
      <rPr>
        <sz val="9"/>
        <color rgb="FF000000"/>
        <rFont val="ArialMT"/>
      </rPr>
      <t>/km): resistencia del apantallamiento del cable</t>
    </r>
  </si>
  <si>
    <r>
      <t>U</t>
    </r>
    <r>
      <rPr>
        <b/>
        <sz val="6"/>
        <color rgb="FF000000"/>
        <rFont val="Arial-BoldMT"/>
      </rPr>
      <t xml:space="preserve">W 
</t>
    </r>
    <r>
      <rPr>
        <b/>
        <sz val="9"/>
        <color rgb="FF000000"/>
        <rFont val="Arial-BoldMT"/>
      </rPr>
      <t>[kV]</t>
    </r>
  </si>
  <si>
    <t>Sin pantalla</t>
  </si>
  <si>
    <t>Pantalla no conectada a barra
equipotencial a la cual esta
conectada el equipo</t>
  </si>
  <si>
    <t>Apantallamiento y equipo unido a
barra equipotencial</t>
  </si>
  <si>
    <r>
      <t xml:space="preserve">5 &lt; Rs </t>
    </r>
    <r>
      <rPr>
        <sz val="9"/>
        <color rgb="FF000000"/>
        <rFont val="SymbolMT"/>
      </rPr>
      <t xml:space="preserve">≤ </t>
    </r>
    <r>
      <rPr>
        <b/>
        <sz val="9"/>
        <color rgb="FF000000"/>
        <rFont val="Arial-BoldMT"/>
      </rPr>
      <t>20
[</t>
    </r>
    <r>
      <rPr>
        <sz val="9"/>
        <color rgb="FF000000"/>
        <rFont val="SymbolMT"/>
      </rPr>
      <t>Ω</t>
    </r>
    <r>
      <rPr>
        <b/>
        <sz val="9"/>
        <color rgb="FF000000"/>
        <rFont val="Arial-BoldMT"/>
      </rPr>
      <t>/km]</t>
    </r>
  </si>
  <si>
    <r>
      <t>R</t>
    </r>
    <r>
      <rPr>
        <sz val="6"/>
        <color rgb="FF000000"/>
        <rFont val="ArialMT"/>
      </rPr>
      <t>s</t>
    </r>
    <r>
      <rPr>
        <sz val="9"/>
        <color rgb="FF000000"/>
        <rFont val="ArialMT"/>
      </rPr>
      <t>: resistencia de la pantalla del cable (Ω/km)</t>
    </r>
  </si>
  <si>
    <r>
      <t xml:space="preserve"> PZ probabilidad de daño de sistemas internos</t>
    </r>
    <r>
      <rPr>
        <sz val="7"/>
        <color rgb="FF000000"/>
        <rFont val="ArialMT"/>
      </rPr>
      <t xml:space="preserve"> </t>
    </r>
    <r>
      <rPr>
        <sz val="11"/>
        <color rgb="FF000000"/>
        <rFont val="ArialMT"/>
      </rPr>
      <t>a causa de descargas cercanas a las acometidas de servicios</t>
    </r>
  </si>
  <si>
    <t>PB</t>
  </si>
  <si>
    <t>PC</t>
  </si>
  <si>
    <t xml:space="preserve">≥ 0,4 </t>
  </si>
  <si>
    <t>PU</t>
  </si>
  <si>
    <t>PV</t>
  </si>
  <si>
    <t>PW</t>
  </si>
  <si>
    <t>PZ</t>
  </si>
  <si>
    <t>Evaluación De Riesgo Estructura Y Acometida</t>
  </si>
  <si>
    <t>--</t>
  </si>
  <si>
    <t>Resumen Probabilidad De Daño</t>
  </si>
  <si>
    <t>Medida</t>
  </si>
  <si>
    <t>RIESGO TOLERABLE</t>
  </si>
  <si>
    <t>RIESGO TOTAL</t>
  </si>
  <si>
    <t>REQUIERE SIPRA</t>
  </si>
  <si>
    <t>Fallas de sistemas eléctricos y electrónicos</t>
  </si>
  <si>
    <r>
      <t>R</t>
    </r>
    <r>
      <rPr>
        <b/>
        <sz val="6"/>
        <color rgb="FF000000"/>
        <rFont val="Arial-BoldMT"/>
      </rPr>
      <t xml:space="preserve">T </t>
    </r>
    <r>
      <rPr>
        <b/>
        <sz val="9"/>
        <color rgb="FF000000"/>
        <rFont val="Arial-BoldMT"/>
      </rPr>
      <t xml:space="preserve">(y </t>
    </r>
    <r>
      <rPr>
        <b/>
        <sz val="6"/>
        <color rgb="FF000000"/>
        <rFont val="Arial-BoldMT"/>
      </rPr>
      <t>- 1</t>
    </r>
    <r>
      <rPr>
        <b/>
        <sz val="9"/>
        <color rgb="FF000000"/>
        <rFont val="Arial-BoldMT"/>
      </rPr>
      <t>)</t>
    </r>
  </si>
  <si>
    <t>NO REQUIERE SIPRA</t>
  </si>
  <si>
    <t>KV</t>
  </si>
  <si>
    <t>Z</t>
  </si>
  <si>
    <t>KVA</t>
  </si>
  <si>
    <t xml:space="preserve"> KVA</t>
  </si>
  <si>
    <t>POTENCIA TRANSFORMADOR</t>
  </si>
  <si>
    <t>REGULACIÓN MÁXIMA PERMISIBLE (%)</t>
  </si>
  <si>
    <t>NIVEL DE TENSIÓN URBANO Y RURAL KVA</t>
  </si>
  <si>
    <t xml:space="preserve">TENSION NOMINAL PERMISIBLE </t>
  </si>
  <si>
    <t>CORRIENTE NOMINAL MT A</t>
  </si>
  <si>
    <t>CORRIENTE NOMINAL BT</t>
  </si>
  <si>
    <t>NIVEL DE AISLAMIENTO BILL</t>
  </si>
  <si>
    <t>V.MAX</t>
  </si>
  <si>
    <t>DF</t>
  </si>
  <si>
    <t>∂</t>
  </si>
  <si>
    <t>Dt</t>
  </si>
  <si>
    <t># AISLADORES</t>
  </si>
  <si>
    <t>CALCULO DE # DE AISLADORES</t>
  </si>
  <si>
    <t xml:space="preserve">GRADO DE
CONTAMINACIÓN </t>
  </si>
  <si>
    <t>DESCRIPCIÓN</t>
  </si>
  <si>
    <t>I-Insignificante</t>
  </si>
  <si>
    <t>1. Áreas no industriales y de
baja densidad de casas
equipadas con equipos de
calefacción.
2. Áreas con baja densidad de
industrias o casas, pero
sometidas a frecuentes
vientos y/o lluvias.
3. Áreas agrícolas.
4. Áreas montañosas.
5. Todas las áreas anteriores
deben estar situadas al
menos entre 10 y 20 km y no
estar sometidas a vientos
provenientes del mismo.</t>
  </si>
  <si>
    <t>II-Medio</t>
  </si>
  <si>
    <t>6. Áreas con industrias poco
contaminantes y/o casas
equipadas con plantas de 7. Áreas con alta densidad de
industrias o casas, pero
sometidas a frecuentes
vientos y/o lluvias.
8. Áreas expuestas a vientos
del mar, pero no próximas a
la costa
calefacción.</t>
  </si>
  <si>
    <t>III-Fuerte</t>
  </si>
  <si>
    <t>9. Áreas con alta densidad de
industrias y suburbios de
grandes ciudades con alta
densidad de plantas de
calefacción produciendo
polución.
10.Áreas próximas al mar o
expuestas a vientos
relativamente fuertes
provenientes del mar.</t>
  </si>
  <si>
    <t>IV-Muy Fuerte</t>
  </si>
  <si>
    <t>11.Áreas sometidas a humos
contaminantes que producen
depósitos conductores
espesos.
12.Áreas muy próximas al mar,
sujetas a vientos muy fuertes.
13.Áreas desiertas expuestas a
vientos que contienen arena
y sal</t>
  </si>
  <si>
    <t>DISTANCIA
MÍNIMA DE FUGA
DF EN (mm/Kv)</t>
  </si>
  <si>
    <t>Distancia de fuga</t>
  </si>
  <si>
    <t>Grado de Contaminacion</t>
  </si>
  <si>
    <t>Df</t>
  </si>
  <si>
    <t>Económicas</t>
  </si>
  <si>
    <t xml:space="preserve">En personas </t>
  </si>
  <si>
    <t>Ambientales</t>
  </si>
  <si>
    <t>En la imagen de la empresa</t>
  </si>
  <si>
    <t>CONSECUENCIAS</t>
  </si>
  <si>
    <t>Una o más
muertes</t>
  </si>
  <si>
    <t>Daños mayores,
Salida de Subestación</t>
  </si>
  <si>
    <t>Daños severos.
Interrupción temporal</t>
  </si>
  <si>
    <t>Daños
Importantes.
Interrupción
breve</t>
  </si>
  <si>
    <t>Daños leves,
No interrupción</t>
  </si>
  <si>
    <t>Contaminación
irreparable</t>
  </si>
  <si>
    <t>Contaminación
mayor</t>
  </si>
  <si>
    <t>Contaminación
localizada</t>
  </si>
  <si>
    <t>Efecto menor</t>
  </si>
  <si>
    <t>Sin efecto</t>
  </si>
  <si>
    <t>Internacional</t>
  </si>
  <si>
    <t>Nacional</t>
  </si>
  <si>
    <t>Regional</t>
  </si>
  <si>
    <t>Local</t>
  </si>
  <si>
    <t>Interna</t>
  </si>
  <si>
    <t>Medio</t>
  </si>
  <si>
    <t>No ha ocurrido
en el sector</t>
  </si>
  <si>
    <t>Ha ocurrido en
el sector</t>
  </si>
  <si>
    <t>Ha ocurrido en
la Empresa</t>
  </si>
  <si>
    <t>Sucede varias
veces al año
en la Empresa</t>
  </si>
  <si>
    <t>Sucede varias
veces al mes
en la Empresa</t>
  </si>
  <si>
    <t>Muy Alto</t>
  </si>
  <si>
    <t>Evento o Efecto</t>
  </si>
  <si>
    <t>Factor de Riesgo</t>
  </si>
  <si>
    <t>Concecuencias</t>
  </si>
  <si>
    <t>Frecuencia</t>
  </si>
  <si>
    <t>Riesgo</t>
  </si>
  <si>
    <t>Incapacidad parcial
permanente</t>
  </si>
  <si>
    <t>Incapacidad temporal
(&gt;1 día)</t>
  </si>
  <si>
    <t>Lesión menor (sin
incapacidad)</t>
  </si>
  <si>
    <t>Molestia funcional
(afecta
rendimiento
laboral)</t>
  </si>
  <si>
    <t>Muy Bajo</t>
  </si>
  <si>
    <t>Daño grave en
infraestructura.
Interrupción
regional.</t>
  </si>
  <si>
    <t>Fuente (v)</t>
  </si>
  <si>
    <r>
      <t xml:space="preserve">CONTACTO INDIRECTO
POSIBLES CAUSAS: </t>
    </r>
    <r>
      <rPr>
        <sz val="9"/>
        <color rgb="FF000000"/>
        <rFont val="Arial"/>
        <family val="2"/>
      </rPr>
      <t xml:space="preserve">Fallas de aislamiento, mal mantenimiento, falta de
conductor de puesta a tierra.
</t>
    </r>
    <r>
      <rPr>
        <b/>
        <sz val="9"/>
        <color rgb="FF000000"/>
        <rFont val="Arial"/>
        <family val="2"/>
      </rPr>
      <t xml:space="preserve">MEDIDAS DE PROTECCIÓN: </t>
    </r>
    <r>
      <rPr>
        <sz val="9"/>
        <color rgb="FF000000"/>
        <rFont val="Arial"/>
        <family val="2"/>
      </rPr>
      <t>Separación de circuitos, uso de muy baja
tensión, distancias de seguridad, conexiones equipotenciales, sistemas de
puesta a tierra, interruptores diferenciales, mantenimiento preventivo y
correctivo.</t>
    </r>
  </si>
  <si>
    <r>
      <t xml:space="preserve">CORTOCIRCUITO
POSIBLES CAUSAS: </t>
    </r>
    <r>
      <rPr>
        <sz val="9"/>
        <color rgb="FF000000"/>
        <rFont val="Arial"/>
        <family val="2"/>
      </rPr>
      <t xml:space="preserve">Fallas de aislamiento, impericia de los técnicos,
accidentes externos, vientos fuertes, humedades, equipos defectuosos.
</t>
    </r>
    <r>
      <rPr>
        <b/>
        <sz val="9"/>
        <color rgb="FF000000"/>
        <rFont val="Arial"/>
        <family val="2"/>
      </rPr>
      <t xml:space="preserve">MEDIDAS DE PROTECCIÓN: </t>
    </r>
    <r>
      <rPr>
        <sz val="9"/>
        <color rgb="FF000000"/>
        <rFont val="Arial"/>
        <family val="2"/>
      </rPr>
      <t>Interruptores automáticos con dispositivos de
disparo de máxima corriente o cortacircuitos fusibles.</t>
    </r>
  </si>
  <si>
    <r>
      <t xml:space="preserve">ELECTRICIDAD ESTÁTICA
POSIBLES CAUSAS: </t>
    </r>
    <r>
      <rPr>
        <sz val="9"/>
        <color rgb="FF000000"/>
        <rFont val="Arial"/>
        <family val="2"/>
      </rPr>
      <t xml:space="preserve">Unión y separación constante de materiales como
aislantes, conductores, sólidos o gases con la presencia de un aislante.
</t>
    </r>
    <r>
      <rPr>
        <b/>
        <sz val="9"/>
        <color rgb="FF000000"/>
        <rFont val="Arial"/>
        <family val="2"/>
      </rPr>
      <t>MEDIDAS DE PROTECCIÓN</t>
    </r>
    <r>
      <rPr>
        <sz val="9"/>
        <color rgb="FF000000"/>
        <rFont val="Arial"/>
        <family val="2"/>
      </rPr>
      <t>: Sistemas de puesta a tierra, conexiones
equipotenciales, aumento de la humedad relativa, ionización del ambiente,
eliminadores eléctricos y radiactivos, pisos conductivos.</t>
    </r>
  </si>
  <si>
    <r>
      <t xml:space="preserve">EQUIPO DEFECTUOSO
POSIBLES CAUSAS: </t>
    </r>
    <r>
      <rPr>
        <sz val="9"/>
        <color rgb="FF000000"/>
        <rFont val="Arial"/>
        <family val="2"/>
      </rPr>
      <t xml:space="preserve">Mal mantenimiento, mala instalación, mala utilización,
tiempo de uso, transporte inadecuado.
</t>
    </r>
    <r>
      <rPr>
        <b/>
        <sz val="9"/>
        <color rgb="FF000000"/>
        <rFont val="Arial"/>
        <family val="2"/>
      </rPr>
      <t xml:space="preserve">MEDIDAS DE PROTECCIÓN: </t>
    </r>
    <r>
      <rPr>
        <sz val="9"/>
        <color rgb="FF000000"/>
        <rFont val="Arial"/>
        <family val="2"/>
      </rPr>
      <t>Mantenimiento predictivo y preventivo,
construcción de instalaciones siguiendo las normas técnicas, caracterización del
entorno electromagnético.</t>
    </r>
  </si>
  <si>
    <r>
      <t xml:space="preserve">RAYOS
POSIBLES CAUSAS: </t>
    </r>
    <r>
      <rPr>
        <sz val="9"/>
        <color rgb="FF000000"/>
        <rFont val="Arial"/>
        <family val="2"/>
      </rPr>
      <t xml:space="preserve">Fallas en: el diseño, construcción, operación,
mantenimiento del sistema de protección.
</t>
    </r>
    <r>
      <rPr>
        <b/>
        <sz val="9"/>
        <color rgb="FF000000"/>
        <rFont val="Arial"/>
        <family val="2"/>
      </rPr>
      <t xml:space="preserve">MEDIDAS DE PROTECCIÓN: </t>
    </r>
    <r>
      <rPr>
        <sz val="9"/>
        <color rgb="FF000000"/>
        <rFont val="Arial"/>
        <family val="2"/>
      </rPr>
      <t>Pararrayos, bajantes, puestas a tierra,
equipotencialización, apantallamientos, topología de cableados. Además
suspender actividades de alto riesgo, cuando se tenga personal al aire libre.</t>
    </r>
  </si>
  <si>
    <r>
      <t xml:space="preserve">SOBRECARGA
POSIBLES CAUSAS: </t>
    </r>
    <r>
      <rPr>
        <sz val="9"/>
        <color rgb="FF000000"/>
        <rFont val="Arial"/>
        <family val="2"/>
      </rPr>
      <t xml:space="preserve">Superar los límites nominales de los equipos o de los
conductores, instalaciones que no cumplen las normas técnicas, conexiones
flojas, armónicos, no controlar el factor de potencia.
</t>
    </r>
    <r>
      <rPr>
        <b/>
        <sz val="9"/>
        <color rgb="FF000000"/>
        <rFont val="Arial"/>
        <family val="2"/>
      </rPr>
      <t>MEDIDAS DE PROTECCIÓN</t>
    </r>
    <r>
      <rPr>
        <sz val="9"/>
        <color rgb="FF000000"/>
        <rFont val="Arial"/>
        <family val="2"/>
      </rPr>
      <t>: Uso de Interruptores automáticos con relés de
sobrecarga, interruptores automáticos asociados con cortacircuitos,
cortacircuitos, fusibles bien dimensionados, dimensionamiento técnico de
conductores y equipos, compensación de energía reactiva con banco de
condensadores</t>
    </r>
  </si>
  <si>
    <r>
      <t xml:space="preserve">TENSIÓN DE CONTACTO
POSIBLES CAUSAS: </t>
    </r>
    <r>
      <rPr>
        <sz val="9"/>
        <color rgb="FF000000"/>
        <rFont val="Arial"/>
        <family val="2"/>
      </rPr>
      <t xml:space="preserve">Rayos, fallas a tierra, fallas de aislamiento, violación de
distancias de seguridad.
</t>
    </r>
    <r>
      <rPr>
        <b/>
        <sz val="9"/>
        <color rgb="FF000000"/>
        <rFont val="Arial"/>
        <family val="2"/>
      </rPr>
      <t xml:space="preserve">MEDIDAS DE PROTECCIÓN: </t>
    </r>
    <r>
      <rPr>
        <sz val="9"/>
        <color rgb="FF000000"/>
        <rFont val="Arial"/>
        <family val="2"/>
      </rPr>
      <t>Puestas a tierra de baja resistencia, restricción
de accesos, alta resistividad del piso, equipotencializar.</t>
    </r>
  </si>
  <si>
    <r>
      <t xml:space="preserve">TENSIÓN DE PASO
POSIBLES CAUSAS: </t>
    </r>
    <r>
      <rPr>
        <sz val="9"/>
        <color rgb="FF000000"/>
        <rFont val="Arial"/>
        <family val="2"/>
      </rPr>
      <t xml:space="preserve">Rayos, fallas a tierra, fallas de aislamiento, violación de
áreas restringidas, retardo en el despeje de la falla,
</t>
    </r>
    <r>
      <rPr>
        <b/>
        <sz val="9"/>
        <color rgb="FF000000"/>
        <rFont val="Arial"/>
        <family val="2"/>
      </rPr>
      <t xml:space="preserve">MEDIDAS DE PROTECCIÓN: </t>
    </r>
    <r>
      <rPr>
        <sz val="9"/>
        <color rgb="FF000000"/>
        <rFont val="Arial"/>
        <family val="2"/>
      </rPr>
      <t>Puestas a tierra de baja resistencia, restricción
de accesos, alta resistividad del piso, equipotencializar.</t>
    </r>
  </si>
  <si>
    <r>
      <t xml:space="preserve">CONTACTO DIRECTO                                                                                                                                                                                   POSIBLES CAUSAS: </t>
    </r>
    <r>
      <rPr>
        <sz val="9"/>
        <color rgb="FF000000"/>
        <rFont val="Arial"/>
        <family val="2"/>
      </rPr>
      <t xml:space="preserve">Negligencia de técnicos o impericia de no técnicos,
violación de las distancias mínimas de seguridad.
</t>
    </r>
    <r>
      <rPr>
        <b/>
        <sz val="9"/>
        <color rgb="FF000000"/>
        <rFont val="Arial"/>
        <family val="2"/>
      </rPr>
      <t xml:space="preserve">MEDIDAS DE PROTECCIÓN: </t>
    </r>
    <r>
      <rPr>
        <sz val="9"/>
        <color rgb="FF000000"/>
        <rFont val="Arial"/>
        <family val="2"/>
      </rPr>
      <t>Establecer distancias de seguridad, interposición
de obstáculos, aislamiento o recubrimiento de partes activas, utilización de
interruptores diferenciales, elementos de protección personal, puesta a tierra,
probar ausencia de tensión, doble aislamiento.</t>
    </r>
  </si>
  <si>
    <r>
      <rPr>
        <b/>
        <sz val="11"/>
        <color theme="1"/>
        <rFont val="Calibri"/>
        <family val="2"/>
        <scheme val="minor"/>
      </rPr>
      <t xml:space="preserve">AUSENCIA DE ELECTRICIDAD (EN DETERMINADOS CASOS)                  </t>
    </r>
    <r>
      <rPr>
        <sz val="11"/>
        <color theme="1"/>
        <rFont val="Calibri"/>
        <family val="2"/>
        <scheme val="minor"/>
      </rPr>
      <t xml:space="preserve">                                                                                           </t>
    </r>
    <r>
      <rPr>
        <b/>
        <sz val="11"/>
        <color theme="1"/>
        <rFont val="Calibri"/>
        <family val="2"/>
        <scheme val="minor"/>
      </rPr>
      <t xml:space="preserve"> POSIBLES CAUSAS: </t>
    </r>
    <r>
      <rPr>
        <sz val="11"/>
        <color theme="1"/>
        <rFont val="Calibri"/>
        <family val="2"/>
        <scheme val="minor"/>
      </rPr>
      <t>Apagón o corte del servicio, no disponer de un sistema ininterrumpido de potencia - UPS, no tener plantas de emergencia, no tener transferencia. Por ejemplo: Lugares donde se exijan plantas de emergencia como hospitales y aeropuertos.</t>
    </r>
    <r>
      <rPr>
        <b/>
        <sz val="11"/>
        <color theme="1"/>
        <rFont val="Calibri"/>
        <family val="2"/>
        <scheme val="minor"/>
      </rPr>
      <t xml:space="preserve">                                                                                                                                                                  MEDIDAS DE PROTECCIÓN: </t>
    </r>
    <r>
      <rPr>
        <sz val="11"/>
        <color theme="1"/>
        <rFont val="Calibri"/>
        <family val="2"/>
        <scheme val="minor"/>
      </rPr>
      <t>Disponer de sistemas ininterrumpidos de potencia y de plantas de emergencia con transferencia automática.</t>
    </r>
  </si>
  <si>
    <r>
      <rPr>
        <b/>
        <sz val="11"/>
        <color theme="1"/>
        <rFont val="Calibri"/>
        <family val="2"/>
        <scheme val="minor"/>
      </rPr>
      <t xml:space="preserve">ARCO ELECTRICO                                                                                                                                                                                                                             </t>
    </r>
    <r>
      <rPr>
        <sz val="11"/>
        <color theme="1"/>
        <rFont val="Calibri"/>
        <family val="2"/>
        <scheme val="minor"/>
      </rPr>
      <t xml:space="preserve"> </t>
    </r>
    <r>
      <rPr>
        <b/>
        <sz val="11"/>
        <color theme="1"/>
        <rFont val="Calibri"/>
        <family val="2"/>
        <scheme val="minor"/>
      </rPr>
      <t>POSIBLES CAUSAS:</t>
    </r>
    <r>
      <rPr>
        <sz val="11"/>
        <color theme="1"/>
        <rFont val="Calibri"/>
        <family val="2"/>
        <scheme val="minor"/>
      </rPr>
      <t xml:space="preserve"> Malos contactos, cortocircuitos, aperturas de interruptores con carga, apertura o cierre de seccionadores con carga, apertura de transformadores de corriente, apertura de transformadores de potencia con carga sin utilizar equipo extintor de arco, apertura de transformadores de corriente en secundarios con carga, manipulación indebida de equipos de medida, materiales o herramientas olvidadas en gabinetes, acumulación de óxido o partículas conductoras, descuidos en los trabajos de mantenimiento.                                                           </t>
    </r>
    <r>
      <rPr>
        <b/>
        <sz val="11"/>
        <color theme="1"/>
        <rFont val="Calibri"/>
        <family val="2"/>
        <scheme val="minor"/>
      </rPr>
      <t>MEDIDAS DE PROTECCIÓN:</t>
    </r>
    <r>
      <rPr>
        <sz val="11"/>
        <color theme="1"/>
        <rFont val="Calibri"/>
        <family val="2"/>
        <scheme val="minor"/>
      </rPr>
      <t xml:space="preserve"> Utilizar materiales envolventes resistentes a los arcos, mantener una distancia de seguridad, usar prendas acordes con el riesgo y gafas de protección contra rayos ultravioleta.</t>
    </r>
  </si>
  <si>
    <t xml:space="preserve">ARCO ELECTRICO    </t>
  </si>
  <si>
    <t xml:space="preserve">AUSENCIA DE ELECTRICIDAD (EN DETERMINADOS CASOS)   </t>
  </si>
  <si>
    <t xml:space="preserve">CONTACTO DIRECTO    </t>
  </si>
  <si>
    <t>CONTACTO INDIRECTO</t>
  </si>
  <si>
    <t>ELECTRICIDAD ESTÁTICA</t>
  </si>
  <si>
    <t>CORTOCIRCUITO</t>
  </si>
  <si>
    <t>EQUIPO DEFECTUOSO</t>
  </si>
  <si>
    <t>RAYOS</t>
  </si>
  <si>
    <t>SOBRECARGA</t>
  </si>
  <si>
    <t>TENSIÓN DE CONTACTO</t>
  </si>
  <si>
    <t>TENSIÓN DE PASO</t>
  </si>
  <si>
    <t>NIVEL DE
RIESGO</t>
  </si>
  <si>
    <t>DECISIONES A TOMAR Y CONTROL</t>
  </si>
  <si>
    <t>PARA EJECUTAR LOS TRABAJOS</t>
  </si>
  <si>
    <t xml:space="preserve">Inadmisible para trabajar. Hay que eliminar fuentes potenciales, hacer reingeniería o minimizarlo y volver a valorarlo en grupo, hasta reducirlo.Requiere permiso especial de Trabajo.   </t>
  </si>
  <si>
    <t>Minimizarlo. Buscar alternativas que presenten menor riesgo. Demostrar cómo se va a controlar el riesgo, aislar con barreras o distancia, usar EPP. Requiere permiso especial de Trabajo.</t>
  </si>
  <si>
    <t>Aceptarlo. Aplicar los sistemas de control (minimizar, aislar, suministrar EPP, procedimientos, protocolos, lista de verificación, usar EPP). Requiere permiso de trabajo.</t>
  </si>
  <si>
    <t>Asumirlo. Hacer control administrativo rutinario. Seguir los procedimientos establecidos. Utilizar EPP. No requiere permiso especial de trabajo.</t>
  </si>
  <si>
    <t>Vigilar posibles cambios</t>
  </si>
  <si>
    <t>Buscar procedimientos alternativos si se decide hacer el trabajo. La alta dirección participa y aprueba el Análisis de Trabajo Seguro (ATS) y autoriza su realización, mediante un permiso Especial de Trabajo (PES).</t>
  </si>
  <si>
    <t>El jefe o supervisor del área involucrada, aprueba el Análisis de Trabajo Seguro (ATS) y el Permiso deTrabajo (PT) presentados por el líder a cargo del trabajo.</t>
  </si>
  <si>
    <t>El líder del grupo de trabajo diligencia el Análisis de Trabajo Seguro (ATS) y el jefe de área aprueba el Permiso de Trabajo (PT) según procedimiento establecido.</t>
  </si>
  <si>
    <t>El líder del trabajo debe verificar:
 ¿Qué puede salir mal o fallar?
 ¿Qué puede causar que algo salga mal o falle?
 ¿Qué podemos hacer para evitar que algo salga mal o falle?</t>
  </si>
  <si>
    <t>No afecta la secuencia de las actividades.</t>
  </si>
  <si>
    <t>Decisiones A Tomar Y Control</t>
  </si>
  <si>
    <t xml:space="preserve">EVALUADOR : </t>
  </si>
  <si>
    <t>MP:</t>
  </si>
  <si>
    <t>FECHA:</t>
  </si>
  <si>
    <t>Real</t>
  </si>
  <si>
    <t>Potencial</t>
  </si>
  <si>
    <t>Riesgo a Evaluar</t>
  </si>
  <si>
    <t>Frecuencia esperada de impactos</t>
  </si>
  <si>
    <t>Ne</t>
  </si>
  <si>
    <t>Riesgo Admisible A Impactos Por Rayo</t>
  </si>
  <si>
    <t>Edificios  con contenido inflamable</t>
  </si>
  <si>
    <t>Otros contenidos</t>
  </si>
  <si>
    <t>Edificios no ocupados normalmente</t>
  </si>
  <si>
    <t>Usos Publico, concurrencia, comercial Docente</t>
  </si>
  <si>
    <t>Resto de edificios</t>
  </si>
  <si>
    <t>Edificio cuyo deterioro pueda interrumpir un servicio impresindible</t>
  </si>
  <si>
    <t>Estructura Metalica</t>
  </si>
  <si>
    <t>Cubierta Metalica</t>
  </si>
  <si>
    <t>Cubierta de Hormigon</t>
  </si>
  <si>
    <t>Cubierta de Madera</t>
  </si>
  <si>
    <t>Estructura de Hormigon</t>
  </si>
  <si>
    <t>Estructura de Madera</t>
  </si>
  <si>
    <t>Tipo de Construccion</t>
  </si>
  <si>
    <t>Riesgo Inflamable</t>
  </si>
  <si>
    <t>Uso del Edificio</t>
  </si>
  <si>
    <t>Necesidad de continuidad</t>
  </si>
  <si>
    <t>Na</t>
  </si>
  <si>
    <t>Ne - Na</t>
  </si>
  <si>
    <t>Tabla 1 (IEEE 80-2000 sec 3.11)
Constantes de materiales</t>
  </si>
  <si>
    <t>Tipo de material</t>
  </si>
  <si>
    <t>Conductividad del material
%</t>
  </si>
  <si>
    <r>
      <t xml:space="preserve">Factor </t>
    </r>
    <r>
      <rPr>
        <sz val="10"/>
        <rFont val="Arial"/>
        <family val="2"/>
      </rPr>
      <t>α</t>
    </r>
    <r>
      <rPr>
        <sz val="11"/>
        <color theme="1"/>
        <rFont val="Calibri"/>
        <family val="2"/>
        <scheme val="minor"/>
      </rPr>
      <t>r
@ 20ºC
[1/ºC]</t>
    </r>
  </si>
  <si>
    <t>K0 a 0ºC
(0ºC)</t>
  </si>
  <si>
    <t>Temperatura de fusion
Tm
[ºC]</t>
  </si>
  <si>
    <t>ρr a 20ºC
[μΩ·cm]</t>
  </si>
  <si>
    <t>TCAP
Capacidad termica
[J/cm3·ºC]</t>
  </si>
  <si>
    <t>Cobre Puro</t>
  </si>
  <si>
    <t>Cobre Comercial</t>
  </si>
  <si>
    <t>Acero recubierto de cobre</t>
  </si>
  <si>
    <t>Barra de acero recubierto de cobre</t>
  </si>
  <si>
    <t>Aluminio grado EC</t>
  </si>
  <si>
    <t>Aluminio 5005</t>
  </si>
  <si>
    <t>Aluminio 6201</t>
  </si>
  <si>
    <t>Acero recubierto de aluminio</t>
  </si>
  <si>
    <t>Acero 1020</t>
  </si>
  <si>
    <t>Barra de acero recubierto de acero inoxidable</t>
  </si>
  <si>
    <t>Barra de cobre recubierto de Zinc</t>
  </si>
  <si>
    <t>Acero inoxidable 304</t>
  </si>
  <si>
    <t>Tabla 10 (IEEE-80)</t>
  </si>
  <si>
    <t>Duracion de la falla</t>
  </si>
  <si>
    <t>Factor de decremento</t>
  </si>
  <si>
    <t>Segundos</t>
  </si>
  <si>
    <t>Ciclos</t>
  </si>
  <si>
    <t>X/R=10</t>
  </si>
  <si>
    <t>X/R=20</t>
  </si>
  <si>
    <t>X/R=30</t>
  </si>
  <si>
    <t>X/R=40</t>
  </si>
  <si>
    <t>CALCULOS DE PUESTA A TIERRA (DISEÑO DE MALLA)</t>
  </si>
  <si>
    <t>(resistividad del suelo)</t>
  </si>
  <si>
    <t>(resistividad superficial)</t>
  </si>
  <si>
    <t>(Profundidad de la capa superficial)</t>
  </si>
  <si>
    <t>Ohm/m</t>
  </si>
  <si>
    <t>m</t>
  </si>
  <si>
    <t>Largo (X):</t>
  </si>
  <si>
    <t>Ancho (Y):</t>
  </si>
  <si>
    <t>Área:</t>
  </si>
  <si>
    <t>Espacio Vertical (Ey)</t>
  </si>
  <si>
    <t>Espacio Horizontal (Ex)</t>
  </si>
  <si>
    <t>Conductores verticales:</t>
  </si>
  <si>
    <t>Conductores Horizontales:</t>
  </si>
  <si>
    <t>Lc:</t>
  </si>
  <si>
    <t>h:</t>
  </si>
  <si>
    <t>ρ₁</t>
  </si>
  <si>
    <t>h₂</t>
  </si>
  <si>
    <t>GEOMETRIA DE LA MALLA</t>
  </si>
  <si>
    <t>m (Longitud total de la malla)</t>
  </si>
  <si>
    <t>m (Profundidad de la malla)</t>
  </si>
  <si>
    <t>Cantidad de varillas:</t>
  </si>
  <si>
    <t>Largo:</t>
  </si>
  <si>
    <t>Lm:</t>
  </si>
  <si>
    <t>Lt:</t>
  </si>
  <si>
    <t>peso persona</t>
  </si>
  <si>
    <t>Es</t>
  </si>
  <si>
    <t>Et</t>
  </si>
  <si>
    <t>Tipo de union</t>
  </si>
  <si>
    <t>t max</t>
  </si>
  <si>
    <t>Soldada</t>
  </si>
  <si>
    <t>Empernada</t>
  </si>
  <si>
    <t>Sin varillas en las esquinas</t>
  </si>
  <si>
    <t>Con varillas en las esquinas</t>
  </si>
  <si>
    <t>Lr:</t>
  </si>
  <si>
    <t>Ts:</t>
  </si>
  <si>
    <t>3I0:</t>
  </si>
  <si>
    <t>A (3XI0 Corriente de falla)</t>
  </si>
  <si>
    <t>s (Tiempo de duración de la falla)</t>
  </si>
  <si>
    <t>CORRIENTE DE FALLA IG (I0)</t>
  </si>
  <si>
    <t>E:</t>
  </si>
  <si>
    <t>kV (Voltaje del sistema L-L)</t>
  </si>
  <si>
    <t>Rf:</t>
  </si>
  <si>
    <t>R1:</t>
  </si>
  <si>
    <t>Ω (Resistencia de secuencia positiva del sistema)</t>
  </si>
  <si>
    <t>R2:</t>
  </si>
  <si>
    <t>Ω (Resistencia de secuencia negativa del sistema)</t>
  </si>
  <si>
    <t>R0:</t>
  </si>
  <si>
    <t>Ω (Resistencia de secuencia cero del sistema)</t>
  </si>
  <si>
    <t>X1:</t>
  </si>
  <si>
    <t>Ω (Reactancia de secuencia positiva del sistema)</t>
  </si>
  <si>
    <t>X2:</t>
  </si>
  <si>
    <t>Ω (Reactancia de secuencia negativa del sistema)</t>
  </si>
  <si>
    <t>X0:</t>
  </si>
  <si>
    <t>Ω (Reactancia de secuencia cero del sistema)</t>
  </si>
  <si>
    <t>E</t>
  </si>
  <si>
    <t>xr</t>
  </si>
  <si>
    <t xml:space="preserve">Calculo Corriente de falla </t>
  </si>
  <si>
    <t>If</t>
  </si>
  <si>
    <t>A (Corriente simetrica)</t>
  </si>
  <si>
    <t>A (Corriente de Falla)</t>
  </si>
  <si>
    <t>Volver</t>
  </si>
  <si>
    <t>Convertir a complejo</t>
  </si>
  <si>
    <t>ln</t>
  </si>
  <si>
    <t>lln</t>
  </si>
  <si>
    <t>tipo de falla</t>
  </si>
  <si>
    <t>L-T</t>
  </si>
  <si>
    <t>L-L-T</t>
  </si>
  <si>
    <t>A(Corriente de falla)</t>
  </si>
  <si>
    <t>CONDUCTOR DE LA MALLA</t>
  </si>
  <si>
    <t>Tipo:</t>
  </si>
  <si>
    <t>Conductividad:</t>
  </si>
  <si>
    <t>Factor αr:</t>
  </si>
  <si>
    <t>K0 a 0ºC:</t>
  </si>
  <si>
    <t>Tm:</t>
  </si>
  <si>
    <t>ρr a 20ºC:</t>
  </si>
  <si>
    <t>TCAP:</t>
  </si>
  <si>
    <t>Tipo de Union:</t>
  </si>
  <si>
    <t>Temp Max de la Union:</t>
  </si>
  <si>
    <t>Ta:</t>
  </si>
  <si>
    <t>Akcmil:</t>
  </si>
  <si>
    <t>Area minima:</t>
  </si>
  <si>
    <t>Diámetro mínimo:</t>
  </si>
  <si>
    <t>Conductor de diseño:</t>
  </si>
  <si>
    <t>área:</t>
  </si>
  <si>
    <t>diámetro:</t>
  </si>
  <si>
    <t>% respecto al cobre puro</t>
  </si>
  <si>
    <t>@20ºC [1/ºC]</t>
  </si>
  <si>
    <t>[ºC] (Temperatura de fusion)</t>
  </si>
  <si>
    <t>[μΩ·cm]</t>
  </si>
  <si>
    <t>[J/cm3·ºC] Capacidad termica</t>
  </si>
  <si>
    <t>ºC</t>
  </si>
  <si>
    <t>ºC (temperatura ambiente)</t>
  </si>
  <si>
    <t xml:space="preserve">kcmil </t>
  </si>
  <si>
    <t>mm2</t>
  </si>
  <si>
    <t>mm</t>
  </si>
  <si>
    <t>KF</t>
  </si>
  <si>
    <t>Kf</t>
  </si>
  <si>
    <t>Constante para el material dado en la Tabla 3, usando una Ta= 40 °C.</t>
  </si>
  <si>
    <t>Calibre del Conductor</t>
  </si>
  <si>
    <t>Area</t>
  </si>
  <si>
    <t>Nº Hilos</t>
  </si>
  <si>
    <t>Diámetro de</t>
  </si>
  <si>
    <t>Diámetro</t>
  </si>
  <si>
    <t>Peso</t>
  </si>
  <si>
    <t>Cada Hilo</t>
  </si>
  <si>
    <t>Exterior</t>
  </si>
  <si>
    <t>Aproximado</t>
  </si>
  <si>
    <t>kcmil</t>
  </si>
  <si>
    <t>mm²</t>
  </si>
  <si>
    <t>kg/km</t>
  </si>
  <si>
    <t>1/0</t>
  </si>
  <si>
    <t>2/0</t>
  </si>
  <si>
    <t>3/0</t>
  </si>
  <si>
    <t>4/0</t>
  </si>
  <si>
    <t>Fuente:  CABEL</t>
  </si>
  <si>
    <t>Cs</t>
  </si>
  <si>
    <t>Factor de disminución de la capa superficial.</t>
  </si>
  <si>
    <t>Peso Estimado</t>
  </si>
  <si>
    <t>kg</t>
  </si>
  <si>
    <t xml:space="preserve">UTILIZADA PARA </t>
  </si>
  <si>
    <t>Valor maximo de resistencia de puesta a tierra</t>
  </si>
  <si>
    <t>Estructuras de linea de transmisión</t>
  </si>
  <si>
    <t>Subestaciones de alta y extra alta tension</t>
  </si>
  <si>
    <t>Subestaciones de media tension de uso exterior en poste</t>
  </si>
  <si>
    <t xml:space="preserve">Subestacion de media tension de uso interior </t>
  </si>
  <si>
    <t>Proteccion contra rayos</t>
  </si>
  <si>
    <t>Neutro de acometida de baja tension</t>
  </si>
  <si>
    <t>Descargas electrostaticas</t>
  </si>
  <si>
    <t>Equipos electronicos sensibles</t>
  </si>
  <si>
    <t>RESISTENCIA DE LA PUESTA A TIERRA</t>
  </si>
  <si>
    <t>Rg</t>
  </si>
  <si>
    <t>Ω (La resistencia de una malla de puesta a tierra formulada por Sverak)</t>
  </si>
  <si>
    <t>CALCULO DE CORRIENTE DE LA MALLA</t>
  </si>
  <si>
    <t>IG</t>
  </si>
  <si>
    <t>A(Corriente máxima a disipar por la malla)</t>
  </si>
  <si>
    <t>CALCULAR</t>
  </si>
  <si>
    <t>Calculo de corriente de malla IG</t>
  </si>
  <si>
    <t>kA (Corriente de falla)</t>
  </si>
  <si>
    <t>s (Tiempo de duracion de la falla)</t>
  </si>
  <si>
    <t>X/R:</t>
  </si>
  <si>
    <t>Relacion X/R</t>
  </si>
  <si>
    <t>Df:</t>
  </si>
  <si>
    <t>Sf:</t>
  </si>
  <si>
    <t>Factor de división</t>
  </si>
  <si>
    <t>IG:</t>
  </si>
  <si>
    <t>kA</t>
  </si>
  <si>
    <t>Calcular</t>
  </si>
  <si>
    <t>Parte Real de la Zeq</t>
  </si>
  <si>
    <t>Parte Imaginaria de la Zeq</t>
  </si>
  <si>
    <t>Zeq</t>
  </si>
  <si>
    <t>Sf</t>
  </si>
  <si>
    <r>
      <rPr>
        <b/>
        <sz val="11"/>
        <color theme="1"/>
        <rFont val="Calibri"/>
        <family val="2"/>
        <scheme val="minor"/>
      </rPr>
      <t xml:space="preserve">NOTA                                                                                                                                 </t>
    </r>
    <r>
      <rPr>
        <sz val="11"/>
        <color theme="1"/>
        <rFont val="Calibri"/>
        <family val="2"/>
        <scheme val="minor"/>
      </rPr>
      <t>La primera columna muestra las impedancias equivalentes para resistencias de electrodos de puesta a tierra de líneas de transmisión Rtg de 15Ω y resistencias de electrodos de puesta a tierra de alimentadores de distribución Rdg de 25Ω. La segunda columna de impedancias equivalentes corresponde a Rtg = 100Ω y Rdg = 200Ω.</t>
    </r>
  </si>
  <si>
    <t>GPR</t>
  </si>
  <si>
    <t>V (Incremento de potencial en la malla)</t>
  </si>
  <si>
    <t>Em</t>
  </si>
  <si>
    <t>Kii</t>
  </si>
  <si>
    <t>N</t>
  </si>
  <si>
    <t>Ki</t>
  </si>
  <si>
    <t>NECESIDAD DE PROTECCIÓN</t>
  </si>
  <si>
    <t>NIVEL DE PROTECCION</t>
  </si>
  <si>
    <t>Eficiencia de la instalacion</t>
  </si>
  <si>
    <t>E=1-(Na/Ne)</t>
  </si>
  <si>
    <t xml:space="preserve">Nivel de Proteccion </t>
  </si>
  <si>
    <t xml:space="preserve">Diferencia de h </t>
  </si>
  <si>
    <t>Nivel de Proteccion</t>
  </si>
  <si>
    <t>25°</t>
  </si>
  <si>
    <t>35°</t>
  </si>
  <si>
    <t>45°</t>
  </si>
  <si>
    <t>55°</t>
  </si>
  <si>
    <t>SECCIÓN</t>
  </si>
  <si>
    <t>DIÁMETRO</t>
  </si>
  <si>
    <t>CALIBRE</t>
  </si>
  <si>
    <t>AWG o MCM</t>
  </si>
  <si>
    <t>CIRCULAR MIL</t>
  </si>
  <si>
    <t>Mm2</t>
  </si>
  <si>
    <t>PULGADAS</t>
  </si>
  <si>
    <t>MILIMETROS</t>
  </si>
  <si>
    <t>n</t>
  </si>
  <si>
    <t>Nivel de proteccion</t>
  </si>
  <si>
    <t>R(m)</t>
  </si>
  <si>
    <t>Dimensiones de le reticula</t>
  </si>
  <si>
    <t>Distancia</t>
  </si>
  <si>
    <t>Distancia entre conductores de bajada</t>
  </si>
  <si>
    <t>Radio de la esfera</t>
  </si>
  <si>
    <t>Lp:</t>
  </si>
  <si>
    <t>Km:</t>
  </si>
  <si>
    <t>kh</t>
  </si>
  <si>
    <t>CALCULO  DE LA TENSION REAL DE LA MALLA</t>
  </si>
  <si>
    <t>Et₅₀:</t>
  </si>
  <si>
    <t>TENSION DE PASO TOLERABLE</t>
  </si>
  <si>
    <t>TENSION DE TOQUE TOLERABLE</t>
  </si>
  <si>
    <t>Ks:</t>
  </si>
  <si>
    <t>CALCULO  DE LA TENSION DE PASO REAL DE LA MALLA</t>
  </si>
  <si>
    <t>Em:</t>
  </si>
  <si>
    <t>VOLVER</t>
  </si>
  <si>
    <t>m²</t>
  </si>
  <si>
    <t>Ep₅₀:</t>
  </si>
  <si>
    <t>QUEMADURA</t>
  </si>
  <si>
    <t>DAÑOS EN EQUIPOS</t>
  </si>
  <si>
    <t>ELECTROCHOQUE</t>
  </si>
  <si>
    <t>Nivel de proteccion sipra</t>
  </si>
  <si>
    <t xml:space="preserve">Tabla 24. Tipos de aisladores. </t>
  </si>
  <si>
    <t xml:space="preserve">TIPO DE AISLADOR </t>
  </si>
  <si>
    <t xml:space="preserve">CARACTERÍSTICAS </t>
  </si>
  <si>
    <t xml:space="preserve">DE PIN </t>
  </si>
  <si>
    <r>
      <t>Se emplean como aisladores soporte y alineamiento en líneas de distribución. Son excelentes para el control de corriente de fuga. Aplicado en tensiones de distribución y subtransmisión, para ambientes normales y contaminados.</t>
    </r>
    <r>
      <rPr>
        <b/>
        <sz val="9"/>
        <color rgb="FF000000"/>
        <rFont val="Arial"/>
        <family val="2"/>
      </rPr>
      <t xml:space="preserve"> </t>
    </r>
  </si>
  <si>
    <t xml:space="preserve">DE DISCO </t>
  </si>
  <si>
    <t xml:space="preserve">Empleados en líneas eléctricas de transmisión (10”) y distribución (6”). Sus características están normalizadas según el peso o fuerza soportable, el nivel de contaminación admisible y el diámetro. </t>
  </si>
  <si>
    <t xml:space="preserve">POLIMERICO </t>
  </si>
  <si>
    <t xml:space="preserve">Se emplean cuando han de soportar grandes esfuerzos mecánicos, debido a que su resistencia mecánica es aproximadamente el doble que los de porcelana, y sus propiedades aislantes también son superiores; sin embargo, el inconveniente es que tienen mayor costo. </t>
  </si>
  <si>
    <t xml:space="preserve">TENSOR </t>
  </si>
  <si>
    <t xml:space="preserve">Aislador de porcelana o sintético, de forma cilíndrica con dos agujeros y ranuras transversales.  Se usa como soporte aislador entre el poste y el suelo en los cables tensores, y para tensar líneas aéreas y estructuras de distribución. </t>
  </si>
  <si>
    <t xml:space="preserve">Es particularmente resistente a compresión. </t>
  </si>
  <si>
    <t xml:space="preserve">CORRIENTE DE CORTOCIRCUITO Y FALLA A TIERRA </t>
  </si>
  <si>
    <t>Tensión de línea en el primario del transformador(E1)</t>
  </si>
  <si>
    <t>Tensión de línea en el secundario del transformador(E2)</t>
  </si>
  <si>
    <t>Valor de la Impedancia de cortocircuito del Transformador (Z %)</t>
  </si>
  <si>
    <t>Potencia Nominal Transformador(KVA)</t>
  </si>
  <si>
    <t>%Ω</t>
  </si>
  <si>
    <t>Corriente del Cortocircuito de MT(Icc)</t>
  </si>
  <si>
    <t>Corriente del Cortocircuito del BT(Icc)</t>
  </si>
  <si>
    <t>Corriente Nominal MT (Inom)</t>
  </si>
  <si>
    <t>Corriente Nominal BT (Inom)</t>
  </si>
  <si>
    <t>KA</t>
  </si>
  <si>
    <t xml:space="preserve">      CORRIENTES  DE  FUSION  MINIMAS PARA  HILOS  FUSIBLES MARCA LUHFSER   TIPO  " T "</t>
  </si>
  <si>
    <t>CORRIENTES  DE  FUSION  MINIMAS PARA  HILOS  FUSIBLES MARCA LUHFSER   TIPO  " DUAL "</t>
  </si>
  <si>
    <t>C O R R I E N T E    N O M I N A L    ( A M P E R I O S )</t>
  </si>
  <si>
    <t>fusible</t>
  </si>
  <si>
    <t>1Tmin</t>
  </si>
  <si>
    <t>2Tmin</t>
  </si>
  <si>
    <t>3Tmin</t>
  </si>
  <si>
    <t>6Tmin</t>
  </si>
  <si>
    <t>8Tmin</t>
  </si>
  <si>
    <t>10Tmin</t>
  </si>
  <si>
    <t>12Tmin</t>
  </si>
  <si>
    <t>15Tmin</t>
  </si>
  <si>
    <t>20Tmin</t>
  </si>
  <si>
    <t>25Tmin</t>
  </si>
  <si>
    <t>30Tmin</t>
  </si>
  <si>
    <t>40Tmin</t>
  </si>
  <si>
    <t>50Tmin</t>
  </si>
  <si>
    <t>65Tmin</t>
  </si>
  <si>
    <t>80Tmin</t>
  </si>
  <si>
    <t>100Tmin</t>
  </si>
  <si>
    <t>140Tmin</t>
  </si>
  <si>
    <t>200Tmin</t>
  </si>
  <si>
    <t>TIEMPOS</t>
  </si>
  <si>
    <t>::</t>
  </si>
  <si>
    <t>tablas corrtiemdif</t>
  </si>
  <si>
    <t xml:space="preserve">      CORRIENTES  DE  DESPEJE TOTAL  PARA  HILOS  FUSIBLES MARCA LUHFSER   TIPO  " T "</t>
  </si>
  <si>
    <t>CORRIENTES  DE  DESPEJE TOTAL PARA  HILOS  FUSIBLES MARCA LUHFSER   TIPO  " DUAL "</t>
  </si>
  <si>
    <t xml:space="preserve">      CORRIENTES  DE  FUSION  MINIMAS PARA  HILOS  FUSIBLES MARCA LUHFSER   TIPO  " K "</t>
  </si>
  <si>
    <t>CORRIENTES  DE FUSION MINIMAS PARA  HILOS  FUSIBLES MARCA LUHFSER   TIPO  " VS "</t>
  </si>
  <si>
    <t>1Kmin</t>
  </si>
  <si>
    <t>2Kmin</t>
  </si>
  <si>
    <t>3Kmin</t>
  </si>
  <si>
    <t>6Kmin</t>
  </si>
  <si>
    <t>8Kmin</t>
  </si>
  <si>
    <t>10Kmin</t>
  </si>
  <si>
    <t>12Kmin</t>
  </si>
  <si>
    <t>15Kmin</t>
  </si>
  <si>
    <t>20Kmin</t>
  </si>
  <si>
    <t>25Kmin</t>
  </si>
  <si>
    <t>40Kmin</t>
  </si>
  <si>
    <t>50Kmin</t>
  </si>
  <si>
    <t>65Kmin</t>
  </si>
  <si>
    <t>80Kmin</t>
  </si>
  <si>
    <t>100Kmin</t>
  </si>
  <si>
    <t>140Kmin</t>
  </si>
  <si>
    <t>200Kmin</t>
  </si>
  <si>
    <t xml:space="preserve">      CORRIENTES  DE  DESPEJE TOTAL  PARA  HILOS  FUSIBLES MARCA LUHFSER   TIPO  " K "</t>
  </si>
  <si>
    <t>CORRIENTES  DE  DESPEJE TOTAL PARA  HILOS  FUSIBLES MARCA LUHFSER   TIPO  " VS "</t>
  </si>
  <si>
    <t xml:space="preserve">      CORRIENTES  DE  FUSION  MINIMAS PARA  HILOS  FUSIBLES MARCA LUHFSER   TIPO  " H "</t>
  </si>
  <si>
    <t>1H</t>
  </si>
  <si>
    <t>2H</t>
  </si>
  <si>
    <t>3H</t>
  </si>
  <si>
    <t>6H</t>
  </si>
  <si>
    <t>8H</t>
  </si>
  <si>
    <t>10H</t>
  </si>
  <si>
    <t>12H</t>
  </si>
  <si>
    <t>15H</t>
  </si>
  <si>
    <t>20H</t>
  </si>
  <si>
    <t>25H</t>
  </si>
  <si>
    <t>30H</t>
  </si>
  <si>
    <t>40H</t>
  </si>
  <si>
    <t>50H</t>
  </si>
  <si>
    <t>65H</t>
  </si>
  <si>
    <t>80H</t>
  </si>
  <si>
    <t>100H</t>
  </si>
  <si>
    <t xml:space="preserve">      CORRIENTES  DE  DESPEJE TOTAL PARA  HILOS  FUSIBLES MARCA LUHFSER   TIPO  " H "</t>
  </si>
  <si>
    <t>Seleccionar</t>
  </si>
  <si>
    <t>t(s)</t>
  </si>
  <si>
    <t>In(A)</t>
  </si>
  <si>
    <t>Corriente nominal</t>
  </si>
  <si>
    <t>Fusible Dual</t>
  </si>
  <si>
    <t>Curva de fusion</t>
  </si>
  <si>
    <t>Curva de aclaramiento</t>
  </si>
  <si>
    <t>Capacidad térmica</t>
  </si>
  <si>
    <t>t (s)</t>
  </si>
  <si>
    <t>I (A)</t>
  </si>
  <si>
    <t>Capacidad sobrecarga</t>
  </si>
  <si>
    <t>t (horas)</t>
  </si>
  <si>
    <t>Energización</t>
  </si>
  <si>
    <t>Fusible VS</t>
  </si>
  <si>
    <t>CALCULO DE TUBERIA CONDUIT</t>
  </si>
  <si>
    <t>INTRODUZCA No. DE CONDUCTORES EN AREA AMARILLA</t>
  </si>
  <si>
    <t>MAS DE DOS CONDUCTORES 40% ocup.</t>
  </si>
  <si>
    <t>TUBO CONDUIT TIPO PESADO</t>
  </si>
  <si>
    <t>TUBO CONDUIT TIPO SEMIPESADO</t>
  </si>
  <si>
    <t>TUBO CONDUIT TIPO LIGERO</t>
  </si>
  <si>
    <t>PVC TIPO NORMAL</t>
  </si>
  <si>
    <t>PVC TIPO PESADO</t>
  </si>
  <si>
    <t>PVC TIPO SUBTERRANEO</t>
  </si>
  <si>
    <t>THW, THW-LS, THHW, THHW-LS, THW-2, RHH, RHW, RHW-2</t>
  </si>
  <si>
    <t>CANTIDAD</t>
  </si>
  <si>
    <t>AREA mm2</t>
  </si>
  <si>
    <t>AREA CALCULADA mm2</t>
  </si>
  <si>
    <t>#14</t>
  </si>
  <si>
    <t>#12</t>
  </si>
  <si>
    <t>#10</t>
  </si>
  <si>
    <t>#8</t>
  </si>
  <si>
    <t>#6</t>
  </si>
  <si>
    <t>#4</t>
  </si>
  <si>
    <t>#3</t>
  </si>
  <si>
    <t>#2</t>
  </si>
  <si>
    <t>#1</t>
  </si>
  <si>
    <t>250MCM</t>
  </si>
  <si>
    <t>300MCM</t>
  </si>
  <si>
    <t>350MCM</t>
  </si>
  <si>
    <t>400MCM</t>
  </si>
  <si>
    <t>500MCM</t>
  </si>
  <si>
    <t>600MCM</t>
  </si>
  <si>
    <t>750MCM</t>
  </si>
  <si>
    <t>TUBERIA CONDUIT METALICA DE 13 mm. A 155 mm.</t>
  </si>
  <si>
    <t>1000MCM</t>
  </si>
  <si>
    <t>TUBERIA CONDUIT DE PVC NORMAL DE 13 A 51 mm.</t>
  </si>
  <si>
    <t>AREA TOTAL</t>
  </si>
  <si>
    <t>TUBERIA CONDUIT DE PVC PESADO  DE 13 A 101 mm.</t>
  </si>
  <si>
    <t>DIAMETRO DE CONDUIT REQUERIDO</t>
  </si>
  <si>
    <t>TUBERIA CONDUIT DE PVC SUBTTERRANEO DE 25 A 150 mm.</t>
  </si>
  <si>
    <t>MATERIAL</t>
  </si>
  <si>
    <r>
      <t xml:space="preserve">Factor </t>
    </r>
    <r>
      <rPr>
        <b/>
        <sz val="10"/>
        <rFont val="Arial"/>
        <family val="2"/>
      </rPr>
      <t>α</t>
    </r>
    <r>
      <rPr>
        <b/>
        <sz val="11"/>
        <color theme="1"/>
        <rFont val="Calibri"/>
        <family val="2"/>
        <scheme val="minor"/>
      </rPr>
      <t>r
@ 20ºC
[1/ºC]</t>
    </r>
  </si>
  <si>
    <t>R(Ω)</t>
  </si>
  <si>
    <t>Tiempo de circulacion</t>
  </si>
  <si>
    <t>E(KWh)</t>
  </si>
  <si>
    <t>Constante KG para distintos factores de potencia</t>
  </si>
  <si>
    <t>Tension 13,2 KV</t>
  </si>
  <si>
    <t>TIPO</t>
  </si>
  <si>
    <t>BIFILAR(FF)</t>
  </si>
  <si>
    <t>MONOFASICA(FN)</t>
  </si>
  <si>
    <t>TRIFILAR(FFN)</t>
  </si>
  <si>
    <t>REGULACION</t>
  </si>
  <si>
    <t>TIPO DE RED</t>
  </si>
  <si>
    <t>FACTOR DE CORRECCION</t>
  </si>
  <si>
    <t>CONSTANTE Kg</t>
  </si>
  <si>
    <t>MOMENTO ELECTRICO</t>
  </si>
  <si>
    <t>CALIBRE DEL CONDUCTOR</t>
  </si>
  <si>
    <t>REGULACION%</t>
  </si>
  <si>
    <t>Fusible H</t>
  </si>
  <si>
    <t>Fusible K</t>
  </si>
  <si>
    <t>Fusible T</t>
  </si>
  <si>
    <t>FusibleT</t>
  </si>
  <si>
    <t>Carga (kVA)</t>
  </si>
  <si>
    <t>Voltaje (kV)</t>
  </si>
  <si>
    <t>In (A)</t>
  </si>
  <si>
    <t>Corriente maxima del conductor (A)</t>
  </si>
  <si>
    <t>Tiempo de disparo (s)</t>
  </si>
  <si>
    <t>K</t>
  </si>
  <si>
    <t>TA</t>
  </si>
  <si>
    <t>TB</t>
  </si>
  <si>
    <t>TC</t>
  </si>
  <si>
    <t>TD</t>
  </si>
  <si>
    <t>TE</t>
  </si>
  <si>
    <t>TF</t>
  </si>
  <si>
    <t>TG</t>
  </si>
  <si>
    <t>TH</t>
  </si>
  <si>
    <t>TI</t>
  </si>
  <si>
    <t>TJ</t>
  </si>
  <si>
    <t>TK</t>
  </si>
  <si>
    <t>Icc (kA)</t>
  </si>
  <si>
    <t>S(mm2)</t>
  </si>
  <si>
    <t>Transformador</t>
  </si>
  <si>
    <t>S(mm2) del conductor</t>
  </si>
  <si>
    <t>Condicion</t>
  </si>
  <si>
    <t>cumple</t>
  </si>
  <si>
    <t>replantear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</si>
</sst>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
    <numFmt numFmtId="165" formatCode="0.000;[Red]0.000"/>
    <numFmt numFmtId="166" formatCode="0.0000"/>
    <numFmt numFmtId="167" formatCode="0.0"/>
    <numFmt numFmtId="168" formatCode="0.000000"/>
  </numFmts>
  <fonts count="68">
    <font>
      <sz val="11"/>
      <color theme="1"/>
      <name val="Calibri"/>
      <family val="2"/>
      <scheme val="minor"/>
    </font>
    <font>
      <sz val="11"/>
      <color theme="1"/>
      <name val="Calibri"/>
      <family val="2"/>
    </font>
    <font>
      <b/>
      <sz val="8"/>
      <color rgb="FF000000"/>
      <name val="Arial-BoldMT"/>
    </font>
    <font>
      <b/>
      <sz val="5"/>
      <color rgb="FF000000"/>
      <name val="Arial-BoldMT"/>
    </font>
    <font>
      <sz val="8"/>
      <color rgb="FF000000"/>
      <name val="ArialMT"/>
    </font>
    <font>
      <sz val="12"/>
      <color rgb="FF000000"/>
      <name val="FranklinGothic-Book"/>
    </font>
    <font>
      <b/>
      <sz val="9"/>
      <color rgb="FF000000"/>
      <name val="Arial"/>
      <family val="2"/>
    </font>
    <font>
      <sz val="9"/>
      <color rgb="FF000000"/>
      <name val="Arial"/>
      <family val="2"/>
    </font>
    <font>
      <sz val="11"/>
      <color rgb="FF000000"/>
      <name val="Calibri"/>
      <family val="2"/>
      <scheme val="minor"/>
    </font>
    <font>
      <b/>
      <sz val="11"/>
      <color theme="1"/>
      <name val="Calibri"/>
      <family val="2"/>
      <scheme val="minor"/>
    </font>
    <font>
      <sz val="11"/>
      <color theme="0"/>
      <name val="Calibri"/>
      <family val="2"/>
      <scheme val="minor"/>
    </font>
    <font>
      <b/>
      <i/>
      <sz val="11"/>
      <color theme="1"/>
      <name val="Calibri"/>
      <family val="2"/>
      <scheme val="minor"/>
    </font>
    <font>
      <b/>
      <sz val="9"/>
      <color rgb="FF000000"/>
      <name val="Arial-BoldMT"/>
    </font>
    <font>
      <b/>
      <sz val="6"/>
      <color rgb="FF000000"/>
      <name val="Arial-BoldMT"/>
    </font>
    <font>
      <sz val="9"/>
      <color rgb="FF000000"/>
      <name val="ArialMT"/>
    </font>
    <font>
      <sz val="6"/>
      <color rgb="FF000000"/>
      <name val="ArialMT"/>
    </font>
    <font>
      <sz val="11"/>
      <color rgb="FF000000"/>
      <name val="ArialMT"/>
    </font>
    <font>
      <b/>
      <sz val="9"/>
      <color rgb="FF000000"/>
      <name val="ArialMT"/>
    </font>
    <font>
      <b/>
      <i/>
      <sz val="9"/>
      <color rgb="FF000000"/>
      <name val="Arial-ItalicMT"/>
    </font>
    <font>
      <b/>
      <i/>
      <sz val="6"/>
      <color rgb="FF000000"/>
      <name val="Arial-ItalicMT"/>
    </font>
    <font>
      <sz val="9"/>
      <color rgb="FF000000"/>
      <name val="SymbolMT"/>
    </font>
    <font>
      <sz val="7"/>
      <color rgb="FF000000"/>
      <name val="ArialMT"/>
    </font>
    <font>
      <b/>
      <sz val="12"/>
      <color rgb="FF000000"/>
      <name val="Arial"/>
      <family val="2"/>
    </font>
    <font>
      <sz val="12"/>
      <color rgb="FF000000"/>
      <name val="Arial"/>
      <family val="2"/>
    </font>
    <font>
      <b/>
      <sz val="14"/>
      <name val="Arial"/>
      <family val="2"/>
    </font>
    <font>
      <sz val="10"/>
      <name val="Arial"/>
      <family val="2"/>
    </font>
    <font>
      <b/>
      <sz val="10"/>
      <color indexed="9"/>
      <name val="Arial"/>
      <family val="2"/>
    </font>
    <font>
      <u/>
      <sz val="11"/>
      <color theme="10"/>
      <name val="Calibri"/>
      <family val="2"/>
      <scheme val="minor"/>
    </font>
    <font>
      <b/>
      <sz val="8"/>
      <color indexed="12"/>
      <name val="Arial"/>
      <family val="2"/>
    </font>
    <font>
      <sz val="8"/>
      <name val="Arial"/>
      <family val="2"/>
    </font>
    <font>
      <b/>
      <sz val="8"/>
      <color indexed="81"/>
      <name val="Tahoma"/>
      <family val="2"/>
    </font>
    <font>
      <sz val="8"/>
      <color indexed="81"/>
      <name val="Tahoma"/>
      <family val="2"/>
    </font>
    <font>
      <b/>
      <sz val="8"/>
      <name val="Arial"/>
      <family val="2"/>
    </font>
    <font>
      <sz val="8"/>
      <color rgb="FF000000"/>
      <name val="Segoe UI"/>
      <family val="2"/>
    </font>
    <font>
      <b/>
      <sz val="10"/>
      <name val="Arial"/>
      <family val="2"/>
    </font>
    <font>
      <sz val="14"/>
      <name val="Arial"/>
      <family val="2"/>
    </font>
    <font>
      <b/>
      <i/>
      <u/>
      <sz val="11"/>
      <color theme="1"/>
      <name val="Calibri"/>
      <family val="2"/>
      <scheme val="minor"/>
    </font>
    <font>
      <sz val="10"/>
      <color theme="1"/>
      <name val="Arial"/>
      <family val="2"/>
    </font>
    <font>
      <b/>
      <i/>
      <sz val="10"/>
      <color theme="1"/>
      <name val="Arial"/>
      <family val="2"/>
    </font>
    <font>
      <sz val="10"/>
      <color theme="0"/>
      <name val="Arial"/>
      <family val="2"/>
    </font>
    <font>
      <b/>
      <sz val="10"/>
      <color theme="1"/>
      <name val="Arial"/>
      <family val="2"/>
    </font>
    <font>
      <i/>
      <sz val="10"/>
      <color theme="1"/>
      <name val="Arial"/>
      <family val="2"/>
    </font>
    <font>
      <u/>
      <sz val="10"/>
      <color theme="1"/>
      <name val="Arial"/>
      <family val="2"/>
    </font>
    <font>
      <b/>
      <sz val="11"/>
      <name val="Calibri"/>
      <family val="2"/>
      <scheme val="minor"/>
    </font>
    <font>
      <b/>
      <sz val="18"/>
      <color indexed="12"/>
      <name val="Arial"/>
      <family val="2"/>
    </font>
    <font>
      <sz val="12"/>
      <color indexed="12"/>
      <name val="Arial"/>
      <family val="2"/>
    </font>
    <font>
      <b/>
      <sz val="18"/>
      <color indexed="10"/>
      <name val="Arial"/>
      <family val="2"/>
    </font>
    <font>
      <sz val="12"/>
      <color indexed="10"/>
      <name val="Arial"/>
      <family val="2"/>
    </font>
    <font>
      <sz val="10"/>
      <color indexed="12"/>
      <name val="Arial"/>
      <family val="2"/>
    </font>
    <font>
      <sz val="10"/>
      <color indexed="10"/>
      <name val="Arial"/>
      <family val="2"/>
    </font>
    <font>
      <b/>
      <sz val="14"/>
      <color indexed="12"/>
      <name val="Arial"/>
      <family val="2"/>
    </font>
    <font>
      <b/>
      <sz val="14"/>
      <color indexed="10"/>
      <name val="Arial"/>
      <family val="2"/>
    </font>
    <font>
      <b/>
      <sz val="12"/>
      <color indexed="12"/>
      <name val="Arial"/>
      <family val="2"/>
    </font>
    <font>
      <sz val="14"/>
      <color indexed="12"/>
      <name val="Arial"/>
      <family val="2"/>
    </font>
    <font>
      <b/>
      <sz val="12"/>
      <color indexed="10"/>
      <name val="Arial"/>
      <family val="2"/>
    </font>
    <font>
      <sz val="14"/>
      <color indexed="10"/>
      <name val="Arial"/>
      <family val="2"/>
    </font>
    <font>
      <sz val="14"/>
      <color indexed="48"/>
      <name val="Arial"/>
      <family val="2"/>
    </font>
    <font>
      <sz val="10"/>
      <name val="Palatino Linotype"/>
      <family val="1"/>
    </font>
    <font>
      <b/>
      <sz val="10"/>
      <name val="Palatino Linotype"/>
      <family val="1"/>
    </font>
    <font>
      <sz val="11"/>
      <color rgb="FF000000"/>
      <name val="Calibri"/>
      <family val="2"/>
    </font>
    <font>
      <b/>
      <sz val="18"/>
      <name val="Arial"/>
      <family val="2"/>
    </font>
    <font>
      <sz val="7.5"/>
      <name val="Arial"/>
      <family val="2"/>
    </font>
    <font>
      <b/>
      <sz val="12"/>
      <name val="Arial"/>
      <family val="2"/>
    </font>
    <font>
      <b/>
      <sz val="6"/>
      <name val="Arial"/>
      <family val="2"/>
    </font>
    <font>
      <b/>
      <sz val="11"/>
      <name val="Arial"/>
      <family val="2"/>
    </font>
    <font>
      <b/>
      <sz val="9"/>
      <name val="Arial"/>
      <family val="2"/>
    </font>
    <font>
      <sz val="9"/>
      <name val="Arial"/>
      <family val="2"/>
    </font>
    <font>
      <sz val="11"/>
      <name val="Arial"/>
      <family val="2"/>
    </font>
  </fonts>
  <fills count="21">
    <fill>
      <patternFill patternType="none"/>
    </fill>
    <fill>
      <patternFill patternType="gray125"/>
    </fill>
    <fill>
      <patternFill patternType="solid">
        <fgColor theme="2"/>
        <bgColor indexed="64"/>
      </patternFill>
    </fill>
    <fill>
      <patternFill patternType="solid">
        <fgColor theme="2" tint="-0.249977111117893"/>
        <bgColor indexed="64"/>
      </patternFill>
    </fill>
    <fill>
      <patternFill patternType="solid">
        <fgColor theme="0"/>
        <bgColor indexed="64"/>
      </patternFill>
    </fill>
    <fill>
      <patternFill patternType="solid">
        <fgColor theme="2" tint="-9.9978637043366805E-2"/>
        <bgColor indexed="64"/>
      </patternFill>
    </fill>
    <fill>
      <patternFill patternType="solid">
        <fgColor rgb="FFAEAAAA"/>
        <bgColor indexed="64"/>
      </patternFill>
    </fill>
    <fill>
      <patternFill patternType="solid">
        <fgColor theme="1"/>
        <bgColor indexed="64"/>
      </patternFill>
    </fill>
    <fill>
      <patternFill patternType="solid">
        <fgColor rgb="FFD0CECE"/>
        <bgColor indexed="64"/>
      </patternFill>
    </fill>
    <fill>
      <patternFill patternType="solid">
        <fgColor rgb="FFFFFF00"/>
        <bgColor indexed="64"/>
      </patternFill>
    </fill>
    <fill>
      <patternFill patternType="solid">
        <fgColor rgb="FF00B050"/>
        <bgColor indexed="64"/>
      </patternFill>
    </fill>
    <fill>
      <patternFill patternType="solid">
        <fgColor rgb="FFFF0000"/>
        <bgColor indexed="64"/>
      </patternFill>
    </fill>
    <fill>
      <patternFill patternType="solid">
        <fgColor rgb="FFFF5050"/>
        <bgColor indexed="64"/>
      </patternFill>
    </fill>
    <fill>
      <patternFill patternType="solid">
        <fgColor rgb="FF08EA1E"/>
        <bgColor indexed="64"/>
      </patternFill>
    </fill>
    <fill>
      <patternFill patternType="solid">
        <fgColor theme="5" tint="0.59999389629810485"/>
        <bgColor indexed="64"/>
      </patternFill>
    </fill>
    <fill>
      <patternFill patternType="solid">
        <fgColor indexed="42"/>
        <bgColor indexed="64"/>
      </patternFill>
    </fill>
    <fill>
      <patternFill patternType="solid">
        <fgColor indexed="19"/>
        <bgColor indexed="64"/>
      </patternFill>
    </fill>
    <fill>
      <patternFill patternType="solid">
        <fgColor theme="0" tint="-0.249977111117893"/>
        <bgColor indexed="64"/>
      </patternFill>
    </fill>
    <fill>
      <patternFill patternType="solid">
        <fgColor rgb="FFFFFF99"/>
        <bgColor indexed="64"/>
      </patternFill>
    </fill>
    <fill>
      <patternFill patternType="solid">
        <fgColor indexed="9"/>
        <bgColor indexed="64"/>
      </patternFill>
    </fill>
    <fill>
      <patternFill patternType="solid">
        <fgColor indexed="43"/>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right/>
      <top/>
      <bottom style="thin">
        <color indexed="64"/>
      </bottom>
      <diagonal/>
    </border>
    <border>
      <left style="thin">
        <color theme="1"/>
      </left>
      <right/>
      <top style="thin">
        <color theme="1"/>
      </top>
      <bottom style="thin">
        <color theme="1"/>
      </bottom>
      <diagonal/>
    </border>
    <border>
      <left/>
      <right/>
      <top style="thin">
        <color auto="1"/>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auto="1"/>
      </top>
      <bottom style="thin">
        <color auto="1"/>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double">
        <color rgb="FF000000"/>
      </bottom>
      <diagonal/>
    </border>
    <border>
      <left style="double">
        <color rgb="FF000000"/>
      </left>
      <right style="medium">
        <color rgb="FF000000"/>
      </right>
      <top style="double">
        <color rgb="FF000000"/>
      </top>
      <bottom style="medium">
        <color rgb="FF000000"/>
      </bottom>
      <diagonal/>
    </border>
    <border>
      <left/>
      <right style="double">
        <color rgb="FF000000"/>
      </right>
      <top style="double">
        <color rgb="FF000000"/>
      </top>
      <bottom style="medium">
        <color rgb="FF000000"/>
      </bottom>
      <diagonal/>
    </border>
    <border>
      <left style="double">
        <color rgb="FF000000"/>
      </left>
      <right style="medium">
        <color rgb="FF000000"/>
      </right>
      <top/>
      <bottom style="medium">
        <color rgb="FF000000"/>
      </bottom>
      <diagonal/>
    </border>
    <border>
      <left/>
      <right style="double">
        <color rgb="FF000000"/>
      </right>
      <top/>
      <bottom style="medium">
        <color rgb="FF000000"/>
      </bottom>
      <diagonal/>
    </border>
    <border>
      <left style="double">
        <color rgb="FF000000"/>
      </left>
      <right style="medium">
        <color rgb="FF000000"/>
      </right>
      <top style="medium">
        <color rgb="FF000000"/>
      </top>
      <bottom/>
      <diagonal/>
    </border>
    <border>
      <left/>
      <right style="double">
        <color rgb="FF000000"/>
      </right>
      <top/>
      <bottom/>
      <diagonal/>
    </border>
    <border>
      <left style="double">
        <color rgb="FF000000"/>
      </left>
      <right style="medium">
        <color rgb="FF000000"/>
      </right>
      <top/>
      <bottom style="double">
        <color rgb="FF000000"/>
      </bottom>
      <diagonal/>
    </border>
    <border>
      <left/>
      <right style="double">
        <color rgb="FF000000"/>
      </right>
      <top/>
      <bottom style="double">
        <color rgb="FF00000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diagonal/>
    </border>
  </borders>
  <cellStyleXfs count="2">
    <xf numFmtId="0" fontId="0" fillId="0" borderId="0"/>
    <xf numFmtId="0" fontId="27" fillId="0" borderId="0" applyNumberFormat="0" applyFill="0" applyBorder="0" applyAlignment="0" applyProtection="0"/>
  </cellStyleXfs>
  <cellXfs count="468">
    <xf numFmtId="0" fontId="0" fillId="0" borderId="0" xfId="0"/>
    <xf numFmtId="12" fontId="0" fillId="0" borderId="1" xfId="0" applyNumberFormat="1" applyBorder="1" applyAlignment="1">
      <alignment horizontal="center"/>
    </xf>
    <xf numFmtId="0" fontId="0" fillId="0" borderId="1" xfId="0" applyBorder="1" applyAlignment="1">
      <alignment horizontal="center" vertical="center"/>
    </xf>
    <xf numFmtId="0" fontId="0" fillId="2" borderId="3" xfId="0" applyFill="1" applyBorder="1" applyAlignment="1">
      <alignment horizontal="center"/>
    </xf>
    <xf numFmtId="0" fontId="0" fillId="2" borderId="1" xfId="0" applyFill="1" applyBorder="1" applyAlignment="1">
      <alignment horizontal="center" vertical="center"/>
    </xf>
    <xf numFmtId="0" fontId="0" fillId="2" borderId="1" xfId="0" applyFill="1" applyBorder="1"/>
    <xf numFmtId="0" fontId="2" fillId="0" borderId="1" xfId="0" applyFont="1" applyBorder="1" applyAlignment="1">
      <alignment horizontal="center" vertical="center" wrapText="1"/>
    </xf>
    <xf numFmtId="1" fontId="4" fillId="0" borderId="1" xfId="0" applyNumberFormat="1" applyFont="1" applyBorder="1" applyAlignment="1">
      <alignment horizontal="center" vertical="center" wrapText="1"/>
    </xf>
    <xf numFmtId="2" fontId="4" fillId="0" borderId="1" xfId="0" applyNumberFormat="1" applyFont="1" applyBorder="1" applyAlignment="1">
      <alignment horizontal="center" vertical="center" wrapText="1"/>
    </xf>
    <xf numFmtId="0" fontId="4" fillId="0" borderId="1" xfId="0" applyFont="1" applyBorder="1" applyAlignment="1">
      <alignment horizontal="center" vertical="center" wrapText="1"/>
    </xf>
    <xf numFmtId="0" fontId="0" fillId="0" borderId="1" xfId="0" applyBorder="1" applyAlignment="1">
      <alignment horizontal="center"/>
    </xf>
    <xf numFmtId="2" fontId="0" fillId="0" borderId="1" xfId="0" applyNumberFormat="1" applyBorder="1" applyAlignment="1">
      <alignment horizontal="center" vertical="center"/>
    </xf>
    <xf numFmtId="0" fontId="0" fillId="2" borderId="3" xfId="0" applyFill="1" applyBorder="1" applyAlignment="1">
      <alignment horizontal="center" wrapText="1"/>
    </xf>
    <xf numFmtId="0" fontId="5" fillId="0" borderId="0" xfId="0" applyFont="1"/>
    <xf numFmtId="9" fontId="4" fillId="0" borderId="1" xfId="0" applyNumberFormat="1" applyFont="1" applyBorder="1" applyAlignment="1">
      <alignment horizontal="center" vertical="center" wrapText="1"/>
    </xf>
    <xf numFmtId="0" fontId="0" fillId="0" borderId="1" xfId="0" applyBorder="1"/>
    <xf numFmtId="0" fontId="0" fillId="0" borderId="1" xfId="0" applyBorder="1" applyAlignment="1">
      <alignment vertical="center"/>
    </xf>
    <xf numFmtId="0" fontId="6" fillId="0" borderId="1" xfId="0" applyFont="1" applyBorder="1" applyAlignment="1">
      <alignment vertical="center" wrapText="1"/>
    </xf>
    <xf numFmtId="0" fontId="7" fillId="0" borderId="1" xfId="0" applyFont="1" applyBorder="1" applyAlignment="1">
      <alignment vertical="center" wrapText="1"/>
    </xf>
    <xf numFmtId="2" fontId="0" fillId="0" borderId="1" xfId="0" applyNumberFormat="1" applyBorder="1" applyAlignment="1">
      <alignment horizontal="center"/>
    </xf>
    <xf numFmtId="0" fontId="0" fillId="3" borderId="1" xfId="0" applyFill="1"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wrapText="1"/>
    </xf>
    <xf numFmtId="1" fontId="0" fillId="0" borderId="1" xfId="0" applyNumberFormat="1" applyBorder="1" applyAlignment="1">
      <alignment horizontal="center" vertical="center"/>
    </xf>
    <xf numFmtId="0" fontId="0" fillId="0" borderId="1" xfId="0" applyBorder="1" applyAlignment="1">
      <alignment horizontal="left" vertical="center"/>
    </xf>
    <xf numFmtId="0" fontId="0" fillId="2" borderId="1" xfId="0" applyFill="1" applyBorder="1" applyAlignment="1">
      <alignment horizontal="left" vertical="center" wrapText="1"/>
    </xf>
    <xf numFmtId="0" fontId="0" fillId="4" borderId="1" xfId="0" applyFill="1" applyBorder="1" applyAlignment="1">
      <alignment horizontal="center" vertical="center"/>
    </xf>
    <xf numFmtId="0" fontId="8" fillId="0" borderId="1" xfId="0" applyFont="1" applyBorder="1" applyAlignment="1">
      <alignment vertical="center"/>
    </xf>
    <xf numFmtId="0" fontId="0" fillId="2" borderId="1" xfId="0" applyFill="1" applyBorder="1" applyAlignment="1">
      <alignment horizontal="left" wrapText="1"/>
    </xf>
    <xf numFmtId="0" fontId="0" fillId="2" borderId="1" xfId="0" applyFill="1" applyBorder="1" applyAlignment="1">
      <alignment horizontal="center"/>
    </xf>
    <xf numFmtId="0" fontId="0" fillId="3" borderId="1" xfId="0" applyFill="1" applyBorder="1" applyAlignment="1">
      <alignment horizontal="center"/>
    </xf>
    <xf numFmtId="0" fontId="8" fillId="0" borderId="0" xfId="0" applyFont="1" applyAlignment="1">
      <alignment vertical="center"/>
    </xf>
    <xf numFmtId="0" fontId="0" fillId="0" borderId="0" xfId="0" applyAlignment="1">
      <alignment wrapText="1"/>
    </xf>
    <xf numFmtId="0" fontId="0" fillId="0" borderId="1" xfId="0" applyBorder="1" applyAlignment="1">
      <alignment horizontal="center" wrapText="1"/>
    </xf>
    <xf numFmtId="0" fontId="0" fillId="0" borderId="1" xfId="0" applyBorder="1" applyAlignment="1">
      <alignment horizontal="left"/>
    </xf>
    <xf numFmtId="16" fontId="0" fillId="0" borderId="1" xfId="0" applyNumberFormat="1" applyBorder="1" applyAlignment="1">
      <alignment horizontal="center"/>
    </xf>
    <xf numFmtId="16" fontId="0" fillId="0" borderId="1" xfId="0" applyNumberFormat="1" applyBorder="1" applyAlignment="1">
      <alignment horizontal="left"/>
    </xf>
    <xf numFmtId="0" fontId="0" fillId="0" borderId="1" xfId="0" applyBorder="1" applyAlignment="1">
      <alignment wrapText="1"/>
    </xf>
    <xf numFmtId="0" fontId="0" fillId="2" borderId="1" xfId="0" applyFill="1" applyBorder="1" applyAlignment="1">
      <alignment horizontal="center" wrapText="1"/>
    </xf>
    <xf numFmtId="0" fontId="8" fillId="0" borderId="1" xfId="0" applyFont="1" applyBorder="1"/>
    <xf numFmtId="0" fontId="0" fillId="0" borderId="8" xfId="0" applyBorder="1"/>
    <xf numFmtId="0" fontId="0" fillId="0" borderId="1" xfId="0" applyBorder="1" applyAlignment="1">
      <alignment horizontal="left" vertical="center" wrapText="1"/>
    </xf>
    <xf numFmtId="0" fontId="0" fillId="0" borderId="0" xfId="0" applyAlignment="1">
      <alignment vertical="top" wrapText="1"/>
    </xf>
    <xf numFmtId="0" fontId="0" fillId="0" borderId="1" xfId="0" applyBorder="1" applyAlignment="1">
      <alignment vertical="center" wrapText="1"/>
    </xf>
    <xf numFmtId="0" fontId="12" fillId="0" borderId="1" xfId="0" applyFont="1" applyBorder="1" applyAlignment="1">
      <alignment vertical="center" wrapText="1"/>
    </xf>
    <xf numFmtId="0" fontId="14" fillId="0" borderId="1" xfId="0" applyFont="1" applyBorder="1" applyAlignment="1">
      <alignment vertical="center" wrapText="1"/>
    </xf>
    <xf numFmtId="0" fontId="0" fillId="2" borderId="1" xfId="0" applyFill="1" applyBorder="1" applyAlignment="1">
      <alignment horizontal="center" vertical="center" wrapText="1"/>
    </xf>
    <xf numFmtId="0" fontId="8" fillId="5" borderId="1" xfId="0" applyFont="1" applyFill="1" applyBorder="1" applyAlignment="1">
      <alignment horizontal="center" vertical="center" wrapText="1"/>
    </xf>
    <xf numFmtId="0" fontId="8" fillId="5" borderId="1" xfId="0" applyFont="1" applyFill="1" applyBorder="1" applyAlignment="1">
      <alignment horizontal="center" vertical="center"/>
    </xf>
    <xf numFmtId="0" fontId="8" fillId="2" borderId="1" xfId="0" applyFont="1" applyFill="1" applyBorder="1" applyAlignment="1">
      <alignment vertical="center"/>
    </xf>
    <xf numFmtId="0" fontId="16" fillId="0" borderId="0" xfId="0" applyFont="1"/>
    <xf numFmtId="0" fontId="12" fillId="0" borderId="1" xfId="0" applyFont="1" applyBorder="1" applyAlignment="1">
      <alignment horizontal="center" vertical="center" wrapText="1"/>
    </xf>
    <xf numFmtId="0" fontId="14" fillId="0" borderId="1" xfId="0" applyFont="1" applyBorder="1" applyAlignment="1">
      <alignment horizontal="center" vertical="center" wrapText="1"/>
    </xf>
    <xf numFmtId="0" fontId="18" fillId="0" borderId="1" xfId="0" applyFont="1" applyBorder="1"/>
    <xf numFmtId="0" fontId="14" fillId="0" borderId="1" xfId="0" applyFont="1" applyBorder="1" applyAlignment="1">
      <alignment horizontal="right" vertical="center" wrapText="1"/>
    </xf>
    <xf numFmtId="0" fontId="20" fillId="0" borderId="1" xfId="0" applyFont="1" applyBorder="1" applyAlignment="1">
      <alignment vertical="center" wrapText="1"/>
    </xf>
    <xf numFmtId="0" fontId="0" fillId="0" borderId="7" xfId="0" applyBorder="1"/>
    <xf numFmtId="0" fontId="12" fillId="0" borderId="2" xfId="0" applyFont="1" applyBorder="1" applyAlignment="1">
      <alignment horizontal="center" vertical="center" wrapText="1"/>
    </xf>
    <xf numFmtId="0" fontId="0" fillId="4" borderId="1" xfId="0" applyFill="1" applyBorder="1" applyAlignment="1">
      <alignment vertical="center"/>
    </xf>
    <xf numFmtId="0" fontId="0" fillId="0" borderId="1" xfId="0" quotePrefix="1" applyBorder="1" applyAlignment="1">
      <alignment horizontal="center" vertical="center"/>
    </xf>
    <xf numFmtId="0" fontId="0" fillId="5" borderId="1" xfId="0" applyFill="1" applyBorder="1"/>
    <xf numFmtId="0" fontId="0" fillId="4" borderId="1" xfId="0" applyFill="1" applyBorder="1" applyAlignment="1">
      <alignment horizontal="center"/>
    </xf>
    <xf numFmtId="0" fontId="0" fillId="4" borderId="3" xfId="0" applyFill="1" applyBorder="1" applyAlignment="1">
      <alignment vertical="center"/>
    </xf>
    <xf numFmtId="0" fontId="0" fillId="0" borderId="3" xfId="0" applyBorder="1" applyAlignment="1">
      <alignment horizontal="center" vertical="center"/>
    </xf>
    <xf numFmtId="0" fontId="8" fillId="8" borderId="1" xfId="0" applyFont="1" applyFill="1" applyBorder="1" applyAlignment="1">
      <alignment horizontal="center" vertical="center"/>
    </xf>
    <xf numFmtId="11" fontId="14" fillId="0" borderId="1" xfId="0" applyNumberFormat="1" applyFont="1" applyBorder="1" applyAlignment="1">
      <alignment vertical="center" wrapText="1"/>
    </xf>
    <xf numFmtId="0" fontId="0" fillId="2" borderId="1" xfId="0" applyFill="1" applyBorder="1" applyAlignment="1">
      <alignment horizontal="center" vertical="top" wrapText="1"/>
    </xf>
    <xf numFmtId="0" fontId="0" fillId="0" borderId="1" xfId="0" applyBorder="1" applyAlignment="1">
      <alignment horizontal="center" vertical="center" wrapText="1"/>
    </xf>
    <xf numFmtId="0" fontId="0" fillId="5" borderId="1" xfId="0" applyFill="1" applyBorder="1" applyAlignment="1">
      <alignment horizontal="center" vertical="center"/>
    </xf>
    <xf numFmtId="0" fontId="0" fillId="3" borderId="1" xfId="0" applyFill="1" applyBorder="1"/>
    <xf numFmtId="0" fontId="0" fillId="0" borderId="0" xfId="0" applyAlignment="1">
      <alignment horizontal="center"/>
    </xf>
    <xf numFmtId="0" fontId="0" fillId="0" borderId="0" xfId="0" applyAlignment="1">
      <alignment vertical="center"/>
    </xf>
    <xf numFmtId="0" fontId="0" fillId="4" borderId="1" xfId="0" applyFill="1" applyBorder="1"/>
    <xf numFmtId="0" fontId="22" fillId="0" borderId="1" xfId="0" applyFont="1" applyBorder="1" applyAlignment="1">
      <alignment vertical="center" wrapText="1"/>
    </xf>
    <xf numFmtId="0" fontId="23" fillId="0" borderId="1" xfId="0" applyFont="1" applyBorder="1" applyAlignment="1">
      <alignment vertical="center" wrapText="1"/>
    </xf>
    <xf numFmtId="0" fontId="0" fillId="5" borderId="1" xfId="0" applyFill="1" applyBorder="1" applyAlignment="1">
      <alignment vertical="center"/>
    </xf>
    <xf numFmtId="0" fontId="0" fillId="5" borderId="1" xfId="0" applyFill="1" applyBorder="1" applyAlignment="1">
      <alignment horizontal="center" vertical="center" wrapText="1"/>
    </xf>
    <xf numFmtId="0" fontId="0" fillId="3" borderId="1" xfId="0" applyFill="1" applyBorder="1" applyAlignment="1">
      <alignment horizontal="center" vertical="center" wrapText="1"/>
    </xf>
    <xf numFmtId="0" fontId="0" fillId="9" borderId="1" xfId="0" applyFill="1" applyBorder="1" applyAlignment="1">
      <alignment horizontal="center" vertical="center" wrapText="1"/>
    </xf>
    <xf numFmtId="0" fontId="0" fillId="12" borderId="1" xfId="0" applyFill="1" applyBorder="1" applyAlignment="1">
      <alignment horizontal="center" vertical="center" wrapText="1"/>
    </xf>
    <xf numFmtId="0" fontId="0" fillId="11" borderId="1" xfId="0" applyFill="1" applyBorder="1" applyAlignment="1">
      <alignment horizontal="center" vertical="center" wrapText="1"/>
    </xf>
    <xf numFmtId="0" fontId="0" fillId="10" borderId="1" xfId="0" applyFill="1" applyBorder="1" applyAlignment="1">
      <alignment horizontal="center" vertical="center" wrapText="1"/>
    </xf>
    <xf numFmtId="0" fontId="0" fillId="13" borderId="1" xfId="0" applyFill="1" applyBorder="1" applyAlignment="1">
      <alignment horizontal="center" vertical="center" wrapText="1"/>
    </xf>
    <xf numFmtId="0" fontId="6" fillId="0" borderId="1" xfId="0" applyFont="1" applyBorder="1" applyAlignment="1">
      <alignment horizontal="center" vertical="top" wrapText="1"/>
    </xf>
    <xf numFmtId="0" fontId="0" fillId="0" borderId="1" xfId="0" applyBorder="1" applyAlignment="1">
      <alignment horizontal="center" vertical="top" wrapText="1"/>
    </xf>
    <xf numFmtId="0" fontId="0" fillId="14" borderId="1" xfId="0" applyFill="1" applyBorder="1" applyAlignment="1">
      <alignment horizontal="center" vertical="center" wrapText="1"/>
    </xf>
    <xf numFmtId="0" fontId="0" fillId="0" borderId="13" xfId="0" applyBorder="1" applyAlignment="1">
      <alignment horizontal="center" vertical="center" wrapText="1"/>
    </xf>
    <xf numFmtId="0" fontId="0" fillId="3" borderId="0" xfId="0" applyFill="1" applyAlignment="1">
      <alignment horizontal="center" vertical="center" wrapText="1"/>
    </xf>
    <xf numFmtId="0" fontId="0" fillId="4" borderId="0" xfId="0" applyFill="1"/>
    <xf numFmtId="0" fontId="0" fillId="4" borderId="7" xfId="0" applyFill="1" applyBorder="1"/>
    <xf numFmtId="0" fontId="0" fillId="0" borderId="9" xfId="0" applyBorder="1"/>
    <xf numFmtId="0" fontId="0" fillId="4" borderId="0" xfId="0" applyFill="1" applyAlignment="1">
      <alignment horizontal="right"/>
    </xf>
    <xf numFmtId="0" fontId="0" fillId="4" borderId="0" xfId="0" applyFill="1" applyAlignment="1">
      <alignment horizontal="right" vertical="center" wrapText="1"/>
    </xf>
    <xf numFmtId="0" fontId="0" fillId="4" borderId="14" xfId="0" applyFill="1" applyBorder="1"/>
    <xf numFmtId="0" fontId="0" fillId="4" borderId="13" xfId="0" applyFill="1" applyBorder="1" applyAlignment="1">
      <alignment horizontal="right"/>
    </xf>
    <xf numFmtId="0" fontId="0" fillId="4" borderId="4" xfId="0" applyFill="1" applyBorder="1"/>
    <xf numFmtId="0" fontId="0" fillId="4" borderId="15" xfId="0" applyFill="1" applyBorder="1"/>
    <xf numFmtId="0" fontId="0" fillId="4" borderId="16" xfId="0" applyFill="1" applyBorder="1"/>
    <xf numFmtId="0" fontId="0" fillId="4" borderId="5" xfId="0" applyFill="1" applyBorder="1"/>
    <xf numFmtId="0" fontId="25" fillId="0" borderId="1" xfId="0" applyFont="1" applyBorder="1" applyAlignment="1">
      <alignment horizontal="center" vertical="center" wrapText="1"/>
    </xf>
    <xf numFmtId="0" fontId="0" fillId="0" borderId="22" xfId="0" applyBorder="1" applyAlignment="1">
      <alignment horizontal="center"/>
    </xf>
    <xf numFmtId="0" fontId="0" fillId="0" borderId="23" xfId="0" applyBorder="1" applyAlignment="1">
      <alignment horizontal="center"/>
    </xf>
    <xf numFmtId="0" fontId="0" fillId="0" borderId="23" xfId="0" applyBorder="1"/>
    <xf numFmtId="0" fontId="0" fillId="0" borderId="24" xfId="0" applyBorder="1" applyAlignment="1">
      <alignment horizontal="center"/>
    </xf>
    <xf numFmtId="0" fontId="0" fillId="0" borderId="25" xfId="0" applyBorder="1" applyAlignment="1">
      <alignment horizontal="center"/>
    </xf>
    <xf numFmtId="0" fontId="0" fillId="0" borderId="25" xfId="0" applyBorder="1"/>
    <xf numFmtId="0" fontId="0" fillId="0" borderId="26" xfId="0" applyBorder="1"/>
    <xf numFmtId="0" fontId="28" fillId="2" borderId="0" xfId="0" applyFont="1" applyFill="1" applyAlignment="1">
      <alignment horizontal="center"/>
    </xf>
    <xf numFmtId="0" fontId="29" fillId="2" borderId="0" xfId="0" applyFont="1" applyFill="1"/>
    <xf numFmtId="0" fontId="0" fillId="2" borderId="13" xfId="0" applyFill="1" applyBorder="1"/>
    <xf numFmtId="0" fontId="0" fillId="2" borderId="0" xfId="0" applyFill="1"/>
    <xf numFmtId="0" fontId="0" fillId="2" borderId="16" xfId="0" applyFill="1" applyBorder="1"/>
    <xf numFmtId="0" fontId="0" fillId="2" borderId="4" xfId="0" applyFill="1" applyBorder="1"/>
    <xf numFmtId="0" fontId="0" fillId="2" borderId="7" xfId="0" applyFill="1" applyBorder="1"/>
    <xf numFmtId="0" fontId="0" fillId="2" borderId="5" xfId="0" applyFill="1" applyBorder="1"/>
    <xf numFmtId="0" fontId="29" fillId="2" borderId="13" xfId="0" applyFont="1" applyFill="1" applyBorder="1" applyAlignment="1">
      <alignment horizontal="right"/>
    </xf>
    <xf numFmtId="0" fontId="29" fillId="2" borderId="4" xfId="0" applyFont="1" applyFill="1" applyBorder="1" applyAlignment="1">
      <alignment horizontal="right"/>
    </xf>
    <xf numFmtId="0" fontId="29" fillId="2" borderId="7" xfId="0" applyFont="1" applyFill="1" applyBorder="1"/>
    <xf numFmtId="0" fontId="28" fillId="2" borderId="7" xfId="0" applyFont="1" applyFill="1" applyBorder="1" applyAlignment="1">
      <alignment horizontal="center"/>
    </xf>
    <xf numFmtId="0" fontId="32" fillId="2" borderId="0" xfId="0" applyFont="1" applyFill="1"/>
    <xf numFmtId="0" fontId="28" fillId="4" borderId="0" xfId="0" applyFont="1" applyFill="1" applyAlignment="1">
      <alignment horizontal="center"/>
    </xf>
    <xf numFmtId="0" fontId="9" fillId="2" borderId="13" xfId="0" applyFont="1" applyFill="1" applyBorder="1"/>
    <xf numFmtId="0" fontId="9" fillId="2" borderId="0" xfId="0" applyFont="1" applyFill="1"/>
    <xf numFmtId="0" fontId="32" fillId="2" borderId="4" xfId="0" applyFont="1" applyFill="1" applyBorder="1" applyAlignment="1">
      <alignment horizontal="right"/>
    </xf>
    <xf numFmtId="2" fontId="32" fillId="2" borderId="7" xfId="0" applyNumberFormat="1" applyFont="1" applyFill="1" applyBorder="1" applyAlignment="1">
      <alignment horizontal="center"/>
    </xf>
    <xf numFmtId="0" fontId="32" fillId="2" borderId="7" xfId="0" applyFont="1" applyFill="1" applyBorder="1"/>
    <xf numFmtId="0" fontId="27" fillId="2" borderId="16" xfId="1" applyFill="1" applyBorder="1"/>
    <xf numFmtId="0" fontId="27" fillId="2" borderId="7" xfId="1" applyFill="1" applyBorder="1"/>
    <xf numFmtId="0" fontId="10" fillId="4" borderId="0" xfId="0" applyFont="1" applyFill="1"/>
    <xf numFmtId="0" fontId="29" fillId="0" borderId="0" xfId="0" applyFont="1"/>
    <xf numFmtId="0" fontId="32" fillId="0" borderId="0" xfId="0" applyFont="1"/>
    <xf numFmtId="0" fontId="0" fillId="0" borderId="6" xfId="0" applyBorder="1" applyAlignment="1">
      <alignment horizontal="center" vertical="center" wrapText="1"/>
    </xf>
    <xf numFmtId="0" fontId="0" fillId="0" borderId="6" xfId="0" applyBorder="1" applyAlignment="1">
      <alignment horizontal="center"/>
    </xf>
    <xf numFmtId="0" fontId="0" fillId="0" borderId="13" xfId="0" applyBorder="1" applyAlignment="1">
      <alignment horizontal="center"/>
    </xf>
    <xf numFmtId="0" fontId="34" fillId="0" borderId="2" xfId="0" applyFont="1" applyBorder="1" applyAlignment="1">
      <alignment horizontal="center"/>
    </xf>
    <xf numFmtId="0" fontId="34" fillId="0" borderId="15" xfId="0" applyFont="1" applyBorder="1" applyAlignment="1">
      <alignment horizontal="center"/>
    </xf>
    <xf numFmtId="0" fontId="34" fillId="0" borderId="3" xfId="0" applyFont="1" applyBorder="1" applyAlignment="1">
      <alignment horizontal="center"/>
    </xf>
    <xf numFmtId="0" fontId="34" fillId="0" borderId="5" xfId="0" applyFont="1" applyBorder="1" applyAlignment="1">
      <alignment horizontal="center"/>
    </xf>
    <xf numFmtId="0" fontId="34" fillId="0" borderId="1" xfId="0" applyFont="1" applyBorder="1" applyAlignment="1">
      <alignment horizontal="center"/>
    </xf>
    <xf numFmtId="0" fontId="34" fillId="0" borderId="11" xfId="0" applyFont="1" applyBorder="1" applyAlignment="1">
      <alignment horizontal="center"/>
    </xf>
    <xf numFmtId="16" fontId="0" fillId="0" borderId="14" xfId="0" applyNumberFormat="1" applyBorder="1" applyAlignment="1">
      <alignment horizontal="center"/>
    </xf>
    <xf numFmtId="0" fontId="0" fillId="0" borderId="2" xfId="0" applyBorder="1" applyAlignment="1">
      <alignment horizontal="center"/>
    </xf>
    <xf numFmtId="0" fontId="0" fillId="0" borderId="3" xfId="0" applyBorder="1" applyAlignment="1">
      <alignment horizontal="center"/>
    </xf>
    <xf numFmtId="0" fontId="0" fillId="2" borderId="7" xfId="0" applyFill="1" applyBorder="1" applyAlignment="1">
      <alignment horizontal="center"/>
    </xf>
    <xf numFmtId="0" fontId="0" fillId="0" borderId="31" xfId="0" applyBorder="1"/>
    <xf numFmtId="0" fontId="0" fillId="0" borderId="32" xfId="0" applyBorder="1"/>
    <xf numFmtId="0" fontId="0" fillId="0" borderId="34" xfId="0" applyBorder="1"/>
    <xf numFmtId="0" fontId="0" fillId="0" borderId="36" xfId="0" applyBorder="1"/>
    <xf numFmtId="0" fontId="0" fillId="0" borderId="37" xfId="0" applyBorder="1"/>
    <xf numFmtId="0" fontId="29" fillId="0" borderId="0" xfId="0" applyFont="1" applyAlignment="1">
      <alignment horizontal="center"/>
    </xf>
    <xf numFmtId="0" fontId="0" fillId="0" borderId="30" xfId="0" applyBorder="1"/>
    <xf numFmtId="0" fontId="29" fillId="0" borderId="33" xfId="0" applyFont="1" applyBorder="1" applyAlignment="1">
      <alignment horizontal="right"/>
    </xf>
    <xf numFmtId="2" fontId="29" fillId="0" borderId="0" xfId="0" applyNumberFormat="1" applyFont="1" applyAlignment="1">
      <alignment horizontal="center"/>
    </xf>
    <xf numFmtId="2" fontId="28" fillId="0" borderId="0" xfId="0" applyNumberFormat="1" applyFont="1" applyAlignment="1">
      <alignment horizontal="center"/>
    </xf>
    <xf numFmtId="0" fontId="29" fillId="0" borderId="33" xfId="0" applyFont="1" applyBorder="1"/>
    <xf numFmtId="0" fontId="32" fillId="0" borderId="33" xfId="0" applyFont="1" applyBorder="1" applyAlignment="1">
      <alignment horizontal="right"/>
    </xf>
    <xf numFmtId="0" fontId="27" fillId="0" borderId="0" xfId="1" applyFill="1" applyBorder="1" applyAlignment="1" applyProtection="1">
      <alignment horizontal="center"/>
    </xf>
    <xf numFmtId="0" fontId="29" fillId="0" borderId="35" xfId="0" applyFont="1" applyBorder="1"/>
    <xf numFmtId="0" fontId="29" fillId="0" borderId="36" xfId="0" applyFont="1" applyBorder="1"/>
    <xf numFmtId="0" fontId="27" fillId="0" borderId="34" xfId="1" applyFill="1" applyBorder="1"/>
    <xf numFmtId="164" fontId="0" fillId="2" borderId="0" xfId="0" applyNumberFormat="1" applyFill="1" applyAlignment="1">
      <alignment horizontal="center"/>
    </xf>
    <xf numFmtId="165" fontId="0" fillId="2" borderId="0" xfId="0" applyNumberFormat="1" applyFill="1" applyAlignment="1">
      <alignment horizontal="center"/>
    </xf>
    <xf numFmtId="164" fontId="36" fillId="2" borderId="0" xfId="0" applyNumberFormat="1" applyFont="1" applyFill="1" applyAlignment="1">
      <alignment horizontal="center"/>
    </xf>
    <xf numFmtId="0" fontId="11" fillId="2" borderId="0" xfId="0" applyFont="1" applyFill="1"/>
    <xf numFmtId="2" fontId="34" fillId="0" borderId="0" xfId="0" applyNumberFormat="1" applyFont="1" applyAlignment="1">
      <alignment horizontal="center"/>
    </xf>
    <xf numFmtId="0" fontId="0" fillId="0" borderId="39" xfId="0" applyBorder="1"/>
    <xf numFmtId="0" fontId="0" fillId="0" borderId="40" xfId="0" applyBorder="1"/>
    <xf numFmtId="0" fontId="0" fillId="2" borderId="0" xfId="0" applyFill="1" applyAlignment="1">
      <alignment horizontal="center"/>
    </xf>
    <xf numFmtId="0" fontId="0" fillId="2" borderId="4" xfId="0" applyFill="1" applyBorder="1" applyAlignment="1">
      <alignment horizontal="center"/>
    </xf>
    <xf numFmtId="0" fontId="0" fillId="2" borderId="5" xfId="0" applyFill="1" applyBorder="1" applyAlignment="1">
      <alignment horizontal="center"/>
    </xf>
    <xf numFmtId="0" fontId="0" fillId="0" borderId="38" xfId="0" applyBorder="1" applyAlignment="1">
      <alignment horizontal="center" vertical="center"/>
    </xf>
    <xf numFmtId="3" fontId="0" fillId="0" borderId="0" xfId="0" applyNumberFormat="1"/>
    <xf numFmtId="3" fontId="0" fillId="0" borderId="0" xfId="0" applyNumberFormat="1" applyAlignment="1">
      <alignment horizontal="center"/>
    </xf>
    <xf numFmtId="167" fontId="0" fillId="0" borderId="1" xfId="0" applyNumberFormat="1" applyBorder="1" applyAlignment="1">
      <alignment horizontal="center"/>
    </xf>
    <xf numFmtId="166" fontId="0" fillId="0" borderId="1" xfId="0" applyNumberFormat="1" applyBorder="1" applyAlignment="1">
      <alignment horizontal="center"/>
    </xf>
    <xf numFmtId="0" fontId="0" fillId="2" borderId="16" xfId="0" applyFill="1" applyBorder="1" applyAlignment="1">
      <alignment horizontal="center"/>
    </xf>
    <xf numFmtId="0" fontId="0" fillId="2" borderId="13" xfId="0" applyFill="1" applyBorder="1" applyAlignment="1">
      <alignment horizontal="left" vertical="center"/>
    </xf>
    <xf numFmtId="0" fontId="0" fillId="2" borderId="13" xfId="0" applyFill="1" applyBorder="1" applyAlignment="1">
      <alignment horizontal="center" vertical="center"/>
    </xf>
    <xf numFmtId="0" fontId="0" fillId="2" borderId="0" xfId="0" applyFill="1" applyAlignment="1">
      <alignment vertical="center" wrapText="1"/>
    </xf>
    <xf numFmtId="0" fontId="0" fillId="2" borderId="16" xfId="0" applyFill="1" applyBorder="1" applyAlignment="1">
      <alignment horizontal="center" vertical="center" wrapText="1"/>
    </xf>
    <xf numFmtId="0" fontId="27" fillId="0" borderId="0" xfId="1"/>
    <xf numFmtId="0" fontId="0" fillId="0" borderId="10" xfId="0" applyBorder="1" applyAlignment="1">
      <alignment horizontal="left"/>
    </xf>
    <xf numFmtId="0" fontId="0" fillId="0" borderId="11" xfId="0" applyBorder="1"/>
    <xf numFmtId="0" fontId="0" fillId="2" borderId="14" xfId="0" applyFill="1" applyBorder="1" applyAlignment="1">
      <alignment vertical="center"/>
    </xf>
    <xf numFmtId="0" fontId="0" fillId="2" borderId="15" xfId="0" applyFill="1" applyBorder="1" applyAlignment="1">
      <alignment horizontal="center" vertical="center" wrapText="1"/>
    </xf>
    <xf numFmtId="0" fontId="0" fillId="2" borderId="13" xfId="0" applyFill="1" applyBorder="1" applyAlignment="1">
      <alignment vertical="center"/>
    </xf>
    <xf numFmtId="0" fontId="0" fillId="2" borderId="0" xfId="0" applyFill="1" applyAlignment="1">
      <alignment horizontal="center" vertical="center" wrapText="1"/>
    </xf>
    <xf numFmtId="0" fontId="0" fillId="2" borderId="4" xfId="0" applyFill="1" applyBorder="1" applyAlignment="1">
      <alignment vertical="center"/>
    </xf>
    <xf numFmtId="0" fontId="0" fillId="2" borderId="7" xfId="0" applyFill="1" applyBorder="1" applyAlignment="1">
      <alignment horizontal="center" vertical="center" wrapText="1"/>
    </xf>
    <xf numFmtId="0" fontId="0" fillId="2" borderId="5" xfId="0" applyFill="1" applyBorder="1" applyAlignment="1">
      <alignment horizontal="center" vertical="center" wrapText="1"/>
    </xf>
    <xf numFmtId="0" fontId="0" fillId="5" borderId="9" xfId="0" applyFill="1" applyBorder="1" applyAlignment="1">
      <alignment horizontal="center" vertical="center" wrapText="1"/>
    </xf>
    <xf numFmtId="0" fontId="0" fillId="5" borderId="0" xfId="0" applyFill="1" applyAlignment="1">
      <alignment horizontal="center" vertical="center" wrapText="1"/>
    </xf>
    <xf numFmtId="0" fontId="0" fillId="3" borderId="1" xfId="0" applyFill="1" applyBorder="1" applyAlignment="1">
      <alignment vertical="center"/>
    </xf>
    <xf numFmtId="0" fontId="0" fillId="2" borderId="14" xfId="0" applyFill="1" applyBorder="1" applyAlignment="1">
      <alignment horizontal="center"/>
    </xf>
    <xf numFmtId="0" fontId="0" fillId="2" borderId="15" xfId="0" applyFill="1" applyBorder="1" applyAlignment="1">
      <alignment horizontal="center"/>
    </xf>
    <xf numFmtId="0" fontId="0" fillId="2" borderId="13" xfId="0" applyFill="1" applyBorder="1" applyAlignment="1">
      <alignment horizontal="center"/>
    </xf>
    <xf numFmtId="0" fontId="37" fillId="2" borderId="13" xfId="0" applyFont="1" applyFill="1" applyBorder="1"/>
    <xf numFmtId="0" fontId="37" fillId="2" borderId="0" xfId="0" applyFont="1" applyFill="1"/>
    <xf numFmtId="0" fontId="37" fillId="2" borderId="16" xfId="0" applyFont="1" applyFill="1" applyBorder="1"/>
    <xf numFmtId="0" fontId="37" fillId="2" borderId="0" xfId="0" applyFont="1" applyFill="1" applyAlignment="1">
      <alignment horizontal="center"/>
    </xf>
    <xf numFmtId="0" fontId="37" fillId="2" borderId="0" xfId="0" applyFont="1" applyFill="1" applyAlignment="1">
      <alignment horizontal="right"/>
    </xf>
    <xf numFmtId="0" fontId="37" fillId="2" borderId="0" xfId="0" applyFont="1" applyFill="1" applyAlignment="1">
      <alignment horizontal="center" vertical="center"/>
    </xf>
    <xf numFmtId="0" fontId="37" fillId="2" borderId="4" xfId="0" applyFont="1" applyFill="1" applyBorder="1"/>
    <xf numFmtId="0" fontId="37" fillId="2" borderId="7" xfId="0" applyFont="1" applyFill="1" applyBorder="1"/>
    <xf numFmtId="0" fontId="37" fillId="2" borderId="5" xfId="0" applyFont="1" applyFill="1" applyBorder="1"/>
    <xf numFmtId="0" fontId="37" fillId="2" borderId="14" xfId="0" applyFont="1" applyFill="1" applyBorder="1"/>
    <xf numFmtId="0" fontId="37" fillId="2" borderId="9" xfId="0" applyFont="1" applyFill="1" applyBorder="1"/>
    <xf numFmtId="0" fontId="37" fillId="2" borderId="15" xfId="0" applyFont="1" applyFill="1" applyBorder="1"/>
    <xf numFmtId="2" fontId="37" fillId="2" borderId="0" xfId="0" applyNumberFormat="1" applyFont="1" applyFill="1"/>
    <xf numFmtId="164" fontId="37" fillId="2" borderId="0" xfId="0" applyNumberFormat="1" applyFont="1" applyFill="1"/>
    <xf numFmtId="0" fontId="38" fillId="3" borderId="0" xfId="0" applyFont="1" applyFill="1" applyAlignment="1">
      <alignment horizontal="right"/>
    </xf>
    <xf numFmtId="0" fontId="38" fillId="3" borderId="0" xfId="0" applyFont="1" applyFill="1"/>
    <xf numFmtId="0" fontId="40" fillId="4" borderId="0" xfId="0" applyFont="1" applyFill="1" applyAlignment="1">
      <alignment horizontal="center"/>
    </xf>
    <xf numFmtId="0" fontId="41" fillId="2" borderId="0" xfId="0" applyFont="1" applyFill="1"/>
    <xf numFmtId="0" fontId="40" fillId="2" borderId="0" xfId="0" applyFont="1" applyFill="1" applyAlignment="1">
      <alignment horizontal="center"/>
    </xf>
    <xf numFmtId="2" fontId="40" fillId="4" borderId="0" xfId="0" applyNumberFormat="1" applyFont="1" applyFill="1" applyAlignment="1">
      <alignment horizontal="center"/>
    </xf>
    <xf numFmtId="49" fontId="37" fillId="2" borderId="0" xfId="0" applyNumberFormat="1" applyFont="1" applyFill="1"/>
    <xf numFmtId="0" fontId="40" fillId="2" borderId="0" xfId="0" applyFont="1" applyFill="1" applyAlignment="1">
      <alignment horizontal="right"/>
    </xf>
    <xf numFmtId="0" fontId="40" fillId="2" borderId="0" xfId="0" applyFont="1" applyFill="1"/>
    <xf numFmtId="0" fontId="42" fillId="2" borderId="0" xfId="1" applyFont="1" applyFill="1" applyBorder="1"/>
    <xf numFmtId="164" fontId="37" fillId="2" borderId="0" xfId="0" applyNumberFormat="1" applyFont="1" applyFill="1" applyAlignment="1">
      <alignment horizontal="right"/>
    </xf>
    <xf numFmtId="2" fontId="37" fillId="2" borderId="0" xfId="0" applyNumberFormat="1" applyFont="1" applyFill="1" applyAlignment="1">
      <alignment horizontal="right"/>
    </xf>
    <xf numFmtId="0" fontId="6" fillId="18" borderId="42" xfId="0" applyFont="1" applyFill="1" applyBorder="1" applyAlignment="1">
      <alignment horizontal="center" vertical="center" wrapText="1"/>
    </xf>
    <xf numFmtId="0" fontId="6" fillId="18" borderId="43" xfId="0" applyFont="1" applyFill="1" applyBorder="1" applyAlignment="1">
      <alignment horizontal="center" vertical="center" wrapText="1"/>
    </xf>
    <xf numFmtId="0" fontId="7" fillId="0" borderId="44" xfId="0" applyFont="1" applyBorder="1" applyAlignment="1">
      <alignment horizontal="center" vertical="center" wrapText="1"/>
    </xf>
    <xf numFmtId="0" fontId="7" fillId="0" borderId="45" xfId="0" applyFont="1" applyBorder="1" applyAlignment="1">
      <alignment horizontal="justify" vertical="center"/>
    </xf>
    <xf numFmtId="0" fontId="7" fillId="0" borderId="49" xfId="0" applyFont="1" applyBorder="1" applyAlignment="1">
      <alignment horizontal="left" vertical="center" wrapText="1"/>
    </xf>
    <xf numFmtId="0" fontId="7" fillId="0" borderId="47" xfId="0" applyFont="1" applyBorder="1" applyAlignment="1">
      <alignment horizontal="justify" vertical="center"/>
    </xf>
    <xf numFmtId="0" fontId="0" fillId="2" borderId="10" xfId="0" applyFill="1" applyBorder="1" applyAlignment="1">
      <alignment vertical="center"/>
    </xf>
    <xf numFmtId="0" fontId="0" fillId="2" borderId="10" xfId="0" applyFill="1" applyBorder="1"/>
    <xf numFmtId="0" fontId="0" fillId="3" borderId="11" xfId="0" applyFill="1" applyBorder="1" applyAlignment="1">
      <alignment horizontal="center"/>
    </xf>
    <xf numFmtId="0" fontId="0" fillId="3" borderId="10" xfId="0" applyFill="1" applyBorder="1"/>
    <xf numFmtId="0" fontId="0" fillId="2" borderId="15" xfId="0" applyFill="1" applyBorder="1" applyAlignment="1">
      <alignment horizontal="left"/>
    </xf>
    <xf numFmtId="0" fontId="0" fillId="2" borderId="11" xfId="0" applyFill="1" applyBorder="1" applyAlignment="1">
      <alignment horizontal="left"/>
    </xf>
    <xf numFmtId="0" fontId="0" fillId="2" borderId="12" xfId="0" applyFill="1" applyBorder="1" applyAlignment="1">
      <alignment horizontal="right"/>
    </xf>
    <xf numFmtId="0" fontId="44" fillId="19" borderId="0" xfId="0" applyFont="1" applyFill="1"/>
    <xf numFmtId="0" fontId="45" fillId="19" borderId="0" xfId="0" applyFont="1" applyFill="1"/>
    <xf numFmtId="0" fontId="46" fillId="9" borderId="0" xfId="0" applyFont="1" applyFill="1"/>
    <xf numFmtId="0" fontId="47" fillId="9" borderId="0" xfId="0" applyFont="1" applyFill="1"/>
    <xf numFmtId="0" fontId="48" fillId="19" borderId="0" xfId="0" applyFont="1" applyFill="1"/>
    <xf numFmtId="0" fontId="45" fillId="19" borderId="0" xfId="0" applyFont="1" applyFill="1" applyAlignment="1">
      <alignment horizontal="center"/>
    </xf>
    <xf numFmtId="0" fontId="47" fillId="19" borderId="0" xfId="0" applyFont="1" applyFill="1"/>
    <xf numFmtId="0" fontId="47" fillId="19" borderId="0" xfId="0" applyFont="1" applyFill="1" applyAlignment="1">
      <alignment horizontal="center"/>
    </xf>
    <xf numFmtId="0" fontId="48" fillId="19" borderId="0" xfId="0" applyFont="1" applyFill="1" applyAlignment="1">
      <alignment horizontal="center" vertical="center"/>
    </xf>
    <xf numFmtId="0" fontId="45" fillId="19" borderId="0" xfId="0" applyFont="1" applyFill="1" applyAlignment="1">
      <alignment vertical="center"/>
    </xf>
    <xf numFmtId="0" fontId="49" fillId="19" borderId="0" xfId="0" applyFont="1" applyFill="1" applyAlignment="1">
      <alignment horizontal="center" vertical="center"/>
    </xf>
    <xf numFmtId="0" fontId="47" fillId="19" borderId="0" xfId="0" applyFont="1" applyFill="1" applyAlignment="1">
      <alignment vertical="center"/>
    </xf>
    <xf numFmtId="0" fontId="45" fillId="19" borderId="0" xfId="0" applyFont="1" applyFill="1" applyAlignment="1">
      <alignment horizontal="center" vertical="center"/>
    </xf>
    <xf numFmtId="0" fontId="50" fillId="19" borderId="0" xfId="0" applyFont="1" applyFill="1" applyAlignment="1">
      <alignment horizontal="center"/>
    </xf>
    <xf numFmtId="0" fontId="47" fillId="19" borderId="0" xfId="0" applyFont="1" applyFill="1" applyAlignment="1">
      <alignment horizontal="center" vertical="center"/>
    </xf>
    <xf numFmtId="167" fontId="51" fillId="19" borderId="0" xfId="0" applyNumberFormat="1" applyFont="1" applyFill="1" applyAlignment="1">
      <alignment horizontal="center"/>
    </xf>
    <xf numFmtId="0" fontId="52" fillId="19" borderId="0" xfId="0" applyFont="1" applyFill="1" applyAlignment="1">
      <alignment horizontal="center" vertical="center"/>
    </xf>
    <xf numFmtId="0" fontId="53" fillId="19" borderId="0" xfId="0" applyFont="1" applyFill="1" applyAlignment="1">
      <alignment horizontal="center" vertical="center"/>
    </xf>
    <xf numFmtId="0" fontId="54" fillId="19" borderId="0" xfId="0" applyFont="1" applyFill="1" applyAlignment="1">
      <alignment horizontal="center" vertical="center"/>
    </xf>
    <xf numFmtId="0" fontId="55" fillId="19" borderId="0" xfId="0" applyFont="1" applyFill="1" applyAlignment="1">
      <alignment horizontal="center" vertical="center"/>
    </xf>
    <xf numFmtId="0" fontId="56" fillId="19" borderId="0" xfId="0" applyFont="1" applyFill="1" applyAlignment="1">
      <alignment horizontal="center"/>
    </xf>
    <xf numFmtId="0" fontId="46" fillId="19" borderId="0" xfId="0" applyFont="1" applyFill="1"/>
    <xf numFmtId="0" fontId="51" fillId="19" borderId="0" xfId="0" applyFont="1" applyFill="1" applyAlignment="1">
      <alignment horizontal="center"/>
    </xf>
    <xf numFmtId="0" fontId="52" fillId="19" borderId="0" xfId="0" applyFont="1" applyFill="1" applyAlignment="1">
      <alignment horizontal="center"/>
    </xf>
    <xf numFmtId="0" fontId="48" fillId="19" borderId="0" xfId="0" applyFont="1" applyFill="1" applyAlignment="1">
      <alignment horizontal="center"/>
    </xf>
    <xf numFmtId="0" fontId="52" fillId="19" borderId="0" xfId="0" applyFont="1" applyFill="1"/>
    <xf numFmtId="0" fontId="54" fillId="19" borderId="0" xfId="0" applyFont="1" applyFill="1"/>
    <xf numFmtId="0" fontId="44" fillId="9" borderId="0" xfId="0" applyFont="1" applyFill="1"/>
    <xf numFmtId="0" fontId="52" fillId="9" borderId="0" xfId="0" applyFont="1" applyFill="1"/>
    <xf numFmtId="0" fontId="54" fillId="19" borderId="0" xfId="0" applyFont="1" applyFill="1" applyAlignment="1">
      <alignment vertical="center"/>
    </xf>
    <xf numFmtId="0" fontId="55" fillId="19" borderId="0" xfId="0" applyFont="1" applyFill="1"/>
    <xf numFmtId="0" fontId="51" fillId="19" borderId="0" xfId="0" applyFont="1" applyFill="1" applyAlignment="1">
      <alignment horizontal="center" vertical="center"/>
    </xf>
    <xf numFmtId="0" fontId="55" fillId="19" borderId="0" xfId="0" applyFont="1" applyFill="1" applyAlignment="1">
      <alignment horizontal="center"/>
    </xf>
    <xf numFmtId="0" fontId="55" fillId="19" borderId="0" xfId="0" applyFont="1" applyFill="1" applyAlignment="1">
      <alignment vertical="center"/>
    </xf>
    <xf numFmtId="2" fontId="45" fillId="19" borderId="0" xfId="0" applyNumberFormat="1" applyFont="1" applyFill="1"/>
    <xf numFmtId="167" fontId="45" fillId="19" borderId="0" xfId="0" applyNumberFormat="1" applyFont="1" applyFill="1"/>
    <xf numFmtId="1" fontId="45" fillId="19" borderId="0" xfId="0" applyNumberFormat="1" applyFont="1" applyFill="1"/>
    <xf numFmtId="0" fontId="54" fillId="19" borderId="0" xfId="0" applyFont="1" applyFill="1" applyAlignment="1">
      <alignment horizontal="center"/>
    </xf>
    <xf numFmtId="0" fontId="51" fillId="19" borderId="0" xfId="0" applyFont="1" applyFill="1"/>
    <xf numFmtId="0" fontId="51" fillId="19" borderId="0" xfId="0" applyFont="1" applyFill="1" applyAlignment="1">
      <alignment vertical="center"/>
    </xf>
    <xf numFmtId="0" fontId="53" fillId="19" borderId="0" xfId="0" applyFont="1" applyFill="1"/>
    <xf numFmtId="2" fontId="53" fillId="19" borderId="0" xfId="0" applyNumberFormat="1" applyFont="1" applyFill="1"/>
    <xf numFmtId="1" fontId="53" fillId="19" borderId="0" xfId="0" applyNumberFormat="1" applyFont="1" applyFill="1"/>
    <xf numFmtId="167" fontId="53" fillId="19" borderId="0" xfId="0" applyNumberFormat="1" applyFont="1" applyFill="1"/>
    <xf numFmtId="0" fontId="53" fillId="19" borderId="0" xfId="0" applyFont="1" applyFill="1" applyAlignment="1">
      <alignment horizontal="center"/>
    </xf>
    <xf numFmtId="0" fontId="57" fillId="0" borderId="22" xfId="0" applyFont="1" applyBorder="1" applyAlignment="1">
      <alignment horizontal="center"/>
    </xf>
    <xf numFmtId="2" fontId="57" fillId="0" borderId="23" xfId="0" applyNumberFormat="1" applyFont="1" applyBorder="1" applyAlignment="1">
      <alignment horizontal="center"/>
    </xf>
    <xf numFmtId="2" fontId="0" fillId="2" borderId="16" xfId="0" applyNumberFormat="1" applyFill="1" applyBorder="1" applyAlignment="1">
      <alignment horizontal="center"/>
    </xf>
    <xf numFmtId="0" fontId="0" fillId="3" borderId="10" xfId="0" applyFill="1" applyBorder="1" applyAlignment="1">
      <alignment horizontal="center"/>
    </xf>
    <xf numFmtId="0" fontId="57" fillId="2" borderId="13" xfId="0" applyFont="1" applyFill="1" applyBorder="1" applyAlignment="1">
      <alignment horizontal="center"/>
    </xf>
    <xf numFmtId="2" fontId="57" fillId="2" borderId="16" xfId="0" applyNumberFormat="1" applyFont="1" applyFill="1" applyBorder="1" applyAlignment="1">
      <alignment horizontal="center"/>
    </xf>
    <xf numFmtId="0" fontId="57" fillId="2" borderId="4" xfId="0" applyFont="1" applyFill="1" applyBorder="1" applyAlignment="1">
      <alignment horizontal="center"/>
    </xf>
    <xf numFmtId="2" fontId="57" fillId="2" borderId="5" xfId="0" applyNumberFormat="1" applyFont="1" applyFill="1" applyBorder="1" applyAlignment="1">
      <alignment horizontal="center"/>
    </xf>
    <xf numFmtId="0" fontId="57" fillId="0" borderId="23" xfId="0" applyFont="1" applyBorder="1" applyAlignment="1">
      <alignment horizontal="center"/>
    </xf>
    <xf numFmtId="0" fontId="0" fillId="3" borderId="11" xfId="0" applyFill="1" applyBorder="1"/>
    <xf numFmtId="0" fontId="57" fillId="0" borderId="24" xfId="0" applyFont="1" applyBorder="1" applyAlignment="1">
      <alignment horizontal="center"/>
    </xf>
    <xf numFmtId="2" fontId="57" fillId="0" borderId="26" xfId="0" applyNumberFormat="1" applyFont="1" applyBorder="1" applyAlignment="1">
      <alignment horizontal="center"/>
    </xf>
    <xf numFmtId="0" fontId="0" fillId="2" borderId="0" xfId="0" applyFill="1" applyAlignment="1">
      <alignment vertical="center"/>
    </xf>
    <xf numFmtId="0" fontId="0" fillId="2" borderId="0" xfId="0" applyFill="1" applyAlignment="1">
      <alignment horizontal="right"/>
    </xf>
    <xf numFmtId="0" fontId="0" fillId="2" borderId="0" xfId="0" applyFill="1" applyAlignment="1">
      <alignment horizontal="left"/>
    </xf>
    <xf numFmtId="0" fontId="0" fillId="3" borderId="15" xfId="0" applyFill="1" applyBorder="1"/>
    <xf numFmtId="49" fontId="60" fillId="0" borderId="0" xfId="0" applyNumberFormat="1" applyFont="1" applyAlignment="1">
      <alignment horizontal="center" wrapText="1"/>
    </xf>
    <xf numFmtId="49" fontId="29" fillId="0" borderId="0" xfId="0" applyNumberFormat="1" applyFont="1" applyAlignment="1">
      <alignment horizontal="center" wrapText="1"/>
    </xf>
    <xf numFmtId="49" fontId="61" fillId="0" borderId="54" xfId="0" applyNumberFormat="1" applyFont="1" applyBorder="1" applyAlignment="1">
      <alignment horizontal="center" wrapText="1"/>
    </xf>
    <xf numFmtId="0" fontId="62" fillId="0" borderId="0" xfId="0" applyFont="1" applyAlignment="1">
      <alignment horizontal="left"/>
    </xf>
    <xf numFmtId="166" fontId="29" fillId="0" borderId="0" xfId="0" applyNumberFormat="1" applyFont="1" applyAlignment="1">
      <alignment horizontal="center"/>
    </xf>
    <xf numFmtId="0" fontId="32" fillId="0" borderId="0" xfId="0" applyFont="1" applyAlignment="1">
      <alignment horizontal="left"/>
    </xf>
    <xf numFmtId="0" fontId="32" fillId="0" borderId="1" xfId="0" applyFont="1" applyBorder="1" applyAlignment="1">
      <alignment horizontal="center"/>
    </xf>
    <xf numFmtId="0" fontId="29" fillId="20" borderId="1" xfId="0" applyFont="1" applyFill="1" applyBorder="1" applyAlignment="1" applyProtection="1">
      <alignment horizontal="center"/>
      <protection locked="0"/>
    </xf>
    <xf numFmtId="0" fontId="29" fillId="0" borderId="1" xfId="0" applyFont="1" applyBorder="1" applyAlignment="1">
      <alignment horizontal="center"/>
    </xf>
    <xf numFmtId="166" fontId="29" fillId="0" borderId="1" xfId="0" applyNumberFormat="1" applyFont="1" applyBorder="1" applyAlignment="1">
      <alignment horizontal="center"/>
    </xf>
    <xf numFmtId="2" fontId="29" fillId="0" borderId="1" xfId="0" applyNumberFormat="1" applyFont="1" applyBorder="1" applyAlignment="1">
      <alignment horizontal="center"/>
    </xf>
    <xf numFmtId="1" fontId="29" fillId="0" borderId="1" xfId="0" applyNumberFormat="1" applyFont="1" applyBorder="1" applyAlignment="1">
      <alignment horizontal="center"/>
    </xf>
    <xf numFmtId="17" fontId="29" fillId="0" borderId="1" xfId="0" quotePrefix="1" applyNumberFormat="1" applyFont="1" applyBorder="1" applyAlignment="1">
      <alignment horizontal="center"/>
    </xf>
    <xf numFmtId="0" fontId="29" fillId="0" borderId="1" xfId="0" quotePrefix="1" applyFont="1" applyBorder="1" applyAlignment="1">
      <alignment horizontal="center"/>
    </xf>
    <xf numFmtId="0" fontId="32" fillId="20" borderId="1" xfId="0" applyFont="1" applyFill="1" applyBorder="1"/>
    <xf numFmtId="0" fontId="67" fillId="0" borderId="11" xfId="0" applyFont="1" applyBorder="1" applyAlignment="1">
      <alignment horizontal="center" wrapText="1"/>
    </xf>
    <xf numFmtId="0" fontId="67" fillId="0" borderId="1" xfId="0" applyFont="1" applyBorder="1" applyAlignment="1">
      <alignment horizontal="center" wrapText="1"/>
    </xf>
    <xf numFmtId="0" fontId="64" fillId="0" borderId="0" xfId="0" applyFont="1" applyAlignment="1">
      <alignment horizontal="center"/>
    </xf>
    <xf numFmtId="0" fontId="32" fillId="0" borderId="1" xfId="0" applyFont="1" applyBorder="1" applyAlignment="1">
      <alignment horizontal="center" vertical="center"/>
    </xf>
    <xf numFmtId="166" fontId="63" fillId="0" borderId="1" xfId="0" applyNumberFormat="1" applyFont="1" applyBorder="1" applyAlignment="1">
      <alignment horizontal="center" vertical="center" wrapText="1"/>
    </xf>
    <xf numFmtId="0" fontId="29" fillId="0" borderId="1" xfId="0" applyFont="1" applyBorder="1" applyAlignment="1">
      <alignment horizontal="center" vertical="center"/>
    </xf>
    <xf numFmtId="0" fontId="9" fillId="0" borderId="1" xfId="0" applyFont="1" applyBorder="1" applyAlignment="1">
      <alignment horizontal="center" vertical="center" wrapText="1"/>
    </xf>
    <xf numFmtId="0" fontId="34" fillId="0" borderId="1" xfId="0" applyFont="1" applyBorder="1" applyAlignment="1">
      <alignment horizontal="center" vertical="center" wrapText="1"/>
    </xf>
    <xf numFmtId="168" fontId="29" fillId="0" borderId="1" xfId="0" applyNumberFormat="1" applyFont="1" applyBorder="1" applyAlignment="1">
      <alignment horizontal="center"/>
    </xf>
    <xf numFmtId="0" fontId="27" fillId="2" borderId="0" xfId="1" applyFill="1" applyBorder="1"/>
    <xf numFmtId="0" fontId="0" fillId="2" borderId="0" xfId="0" applyFill="1" applyAlignment="1">
      <alignment horizontal="center" vertical="top"/>
    </xf>
    <xf numFmtId="0" fontId="0" fillId="2" borderId="7" xfId="0" applyFill="1" applyBorder="1" applyAlignment="1">
      <alignment horizontal="center" vertical="top"/>
    </xf>
    <xf numFmtId="0" fontId="0" fillId="0" borderId="22" xfId="0" applyBorder="1" applyAlignment="1">
      <alignment horizontal="center" vertical="center" wrapText="1"/>
    </xf>
    <xf numFmtId="0" fontId="0" fillId="0" borderId="24" xfId="0" applyBorder="1" applyAlignment="1">
      <alignment horizontal="center" vertical="center" wrapText="1"/>
    </xf>
    <xf numFmtId="0" fontId="0" fillId="0" borderId="25" xfId="0" applyBorder="1" applyAlignment="1">
      <alignment horizontal="center" vertical="center" wrapText="1"/>
    </xf>
    <xf numFmtId="0" fontId="0" fillId="2" borderId="6" xfId="0" applyFill="1" applyBorder="1" applyAlignment="1">
      <alignment horizontal="center" wrapText="1"/>
    </xf>
    <xf numFmtId="0" fontId="0" fillId="2" borderId="3" xfId="0" applyFill="1" applyBorder="1" applyAlignment="1">
      <alignment horizontal="center" wrapText="1"/>
    </xf>
    <xf numFmtId="0" fontId="0" fillId="2" borderId="4" xfId="0" applyFill="1" applyBorder="1" applyAlignment="1">
      <alignment horizontal="center"/>
    </xf>
    <xf numFmtId="0" fontId="0" fillId="2" borderId="7" xfId="0" applyFill="1" applyBorder="1" applyAlignment="1">
      <alignment horizontal="center"/>
    </xf>
    <xf numFmtId="0" fontId="0" fillId="2" borderId="5" xfId="0" applyFill="1" applyBorder="1" applyAlignment="1">
      <alignment horizontal="center"/>
    </xf>
    <xf numFmtId="0" fontId="0" fillId="3" borderId="1" xfId="0" applyFill="1" applyBorder="1" applyAlignment="1">
      <alignment horizontal="center"/>
    </xf>
    <xf numFmtId="0" fontId="0" fillId="2" borderId="2" xfId="0" applyFill="1" applyBorder="1" applyAlignment="1">
      <alignment horizontal="center" vertical="center"/>
    </xf>
    <xf numFmtId="0" fontId="0" fillId="2" borderId="3" xfId="0" applyFill="1" applyBorder="1" applyAlignment="1">
      <alignment horizontal="center" vertical="center"/>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0" fillId="2" borderId="6" xfId="0" applyFill="1" applyBorder="1" applyAlignment="1">
      <alignment horizontal="center" vertical="center" wrapText="1"/>
    </xf>
    <xf numFmtId="0" fontId="0" fillId="0" borderId="1" xfId="0" applyBorder="1" applyAlignment="1">
      <alignment horizontal="center" vertical="center"/>
    </xf>
    <xf numFmtId="0" fontId="4" fillId="0" borderId="1" xfId="0" applyFont="1" applyBorder="1" applyAlignment="1">
      <alignment horizontal="center" vertical="center" wrapText="1"/>
    </xf>
    <xf numFmtId="0" fontId="0" fillId="0" borderId="1" xfId="0" applyBorder="1" applyAlignment="1">
      <alignment horizontal="center" wrapText="1"/>
    </xf>
    <xf numFmtId="0" fontId="0" fillId="0" borderId="1" xfId="0" applyBorder="1" applyAlignment="1">
      <alignment horizontal="center"/>
    </xf>
    <xf numFmtId="0" fontId="0" fillId="0" borderId="0" xfId="0" applyAlignment="1">
      <alignment horizontal="center"/>
    </xf>
    <xf numFmtId="0" fontId="0" fillId="3" borderId="14" xfId="0" applyFill="1" applyBorder="1" applyAlignment="1">
      <alignment horizontal="center" vertical="center"/>
    </xf>
    <xf numFmtId="0" fontId="0" fillId="3" borderId="9" xfId="0" applyFill="1" applyBorder="1" applyAlignment="1">
      <alignment horizontal="center" vertical="center"/>
    </xf>
    <xf numFmtId="0" fontId="0" fillId="3" borderId="15" xfId="0" applyFill="1" applyBorder="1" applyAlignment="1">
      <alignment horizontal="center" vertical="center"/>
    </xf>
    <xf numFmtId="0" fontId="0" fillId="3" borderId="13" xfId="0" applyFill="1" applyBorder="1" applyAlignment="1">
      <alignment horizontal="center" vertical="center"/>
    </xf>
    <xf numFmtId="0" fontId="0" fillId="3" borderId="0" xfId="0" applyFill="1" applyAlignment="1">
      <alignment horizontal="center" vertical="center"/>
    </xf>
    <xf numFmtId="0" fontId="0" fillId="3" borderId="16" xfId="0" applyFill="1" applyBorder="1" applyAlignment="1">
      <alignment horizontal="center" vertical="center"/>
    </xf>
    <xf numFmtId="0" fontId="7" fillId="0" borderId="46" xfId="0" applyFont="1" applyBorder="1" applyAlignment="1">
      <alignment horizontal="center" vertical="center" wrapText="1"/>
    </xf>
    <xf numFmtId="0" fontId="7" fillId="0" borderId="48" xfId="0" applyFont="1" applyBorder="1" applyAlignment="1">
      <alignment horizontal="center" vertical="center" wrapText="1"/>
    </xf>
    <xf numFmtId="2" fontId="0" fillId="3" borderId="2" xfId="0" applyNumberFormat="1" applyFill="1" applyBorder="1" applyAlignment="1">
      <alignment horizontal="center" wrapText="1"/>
    </xf>
    <xf numFmtId="2" fontId="0" fillId="3" borderId="3" xfId="0" applyNumberFormat="1" applyFill="1" applyBorder="1" applyAlignment="1">
      <alignment horizontal="center" wrapText="1"/>
    </xf>
    <xf numFmtId="0" fontId="43" fillId="0" borderId="41" xfId="0" applyFont="1" applyBorder="1" applyAlignment="1">
      <alignment horizontal="center"/>
    </xf>
    <xf numFmtId="0" fontId="0" fillId="0" borderId="41" xfId="0" applyBorder="1" applyAlignment="1">
      <alignment horizontal="center"/>
    </xf>
    <xf numFmtId="0" fontId="0" fillId="3" borderId="10" xfId="0" applyFill="1" applyBorder="1" applyAlignment="1">
      <alignment horizontal="center"/>
    </xf>
    <xf numFmtId="0" fontId="0" fillId="3" borderId="12" xfId="0" applyFill="1" applyBorder="1" applyAlignment="1">
      <alignment horizontal="center"/>
    </xf>
    <xf numFmtId="0" fontId="0" fillId="3" borderId="11" xfId="0" applyFill="1" applyBorder="1" applyAlignment="1">
      <alignment horizontal="center"/>
    </xf>
    <xf numFmtId="0" fontId="58" fillId="3" borderId="52" xfId="0" applyFont="1" applyFill="1" applyBorder="1" applyAlignment="1">
      <alignment horizontal="center"/>
    </xf>
    <xf numFmtId="0" fontId="58" fillId="3" borderId="53" xfId="0" applyFont="1" applyFill="1" applyBorder="1" applyAlignment="1">
      <alignment horizontal="center"/>
    </xf>
    <xf numFmtId="0" fontId="58" fillId="3" borderId="50" xfId="0" applyFont="1" applyFill="1" applyBorder="1" applyAlignment="1">
      <alignment horizontal="center"/>
    </xf>
    <xf numFmtId="0" fontId="58" fillId="3" borderId="51" xfId="0" applyFont="1" applyFill="1" applyBorder="1" applyAlignment="1">
      <alignment horizontal="center"/>
    </xf>
    <xf numFmtId="0" fontId="0" fillId="3" borderId="7" xfId="0" applyFill="1" applyBorder="1" applyAlignment="1">
      <alignment horizontal="center"/>
    </xf>
    <xf numFmtId="0" fontId="6" fillId="0" borderId="2" xfId="0" applyFont="1" applyBorder="1" applyAlignment="1">
      <alignment horizontal="center" vertical="center" wrapText="1"/>
    </xf>
    <xf numFmtId="0" fontId="6" fillId="0" borderId="3" xfId="0" applyFont="1" applyBorder="1" applyAlignment="1">
      <alignment horizontal="center" vertical="center" wrapText="1"/>
    </xf>
    <xf numFmtId="0" fontId="8" fillId="3" borderId="1" xfId="0" applyFont="1" applyFill="1" applyBorder="1" applyAlignment="1">
      <alignment horizontal="center" vertical="center" wrapText="1"/>
    </xf>
    <xf numFmtId="0" fontId="10" fillId="7" borderId="10" xfId="0" applyFont="1" applyFill="1" applyBorder="1" applyAlignment="1">
      <alignment horizontal="center"/>
    </xf>
    <xf numFmtId="0" fontId="10" fillId="7" borderId="11" xfId="0" applyFont="1" applyFill="1" applyBorder="1" applyAlignment="1">
      <alignment horizontal="center"/>
    </xf>
    <xf numFmtId="0" fontId="0" fillId="3" borderId="1" xfId="0" applyFill="1" applyBorder="1" applyAlignment="1">
      <alignment horizontal="center" vertical="center" wrapText="1"/>
    </xf>
    <xf numFmtId="0" fontId="0" fillId="3" borderId="10" xfId="0" applyFill="1" applyBorder="1" applyAlignment="1">
      <alignment horizontal="center" vertical="center" wrapText="1"/>
    </xf>
    <xf numFmtId="0" fontId="0" fillId="3" borderId="11" xfId="0" applyFill="1" applyBorder="1" applyAlignment="1">
      <alignment horizontal="center" vertical="center" wrapText="1"/>
    </xf>
    <xf numFmtId="0" fontId="0" fillId="3" borderId="1" xfId="0" applyFill="1" applyBorder="1" applyAlignment="1">
      <alignment horizontal="center" vertical="center"/>
    </xf>
    <xf numFmtId="0" fontId="0" fillId="3" borderId="1" xfId="0" applyFill="1" applyBorder="1" applyAlignment="1">
      <alignment horizontal="center" wrapText="1"/>
    </xf>
    <xf numFmtId="0" fontId="8" fillId="3" borderId="1" xfId="0" applyFont="1" applyFill="1" applyBorder="1" applyAlignment="1">
      <alignment horizontal="center" wrapText="1"/>
    </xf>
    <xf numFmtId="0" fontId="10" fillId="7" borderId="1" xfId="0" applyFont="1" applyFill="1" applyBorder="1" applyAlignment="1">
      <alignment horizontal="center"/>
    </xf>
    <xf numFmtId="0" fontId="0" fillId="3" borderId="10" xfId="0" applyFill="1" applyBorder="1" applyAlignment="1">
      <alignment horizontal="center" vertical="center"/>
    </xf>
    <xf numFmtId="0" fontId="0" fillId="3" borderId="12" xfId="0" applyFill="1" applyBorder="1" applyAlignment="1">
      <alignment horizontal="center" vertical="center"/>
    </xf>
    <xf numFmtId="0" fontId="0" fillId="3" borderId="11" xfId="0" applyFill="1" applyBorder="1" applyAlignment="1">
      <alignment horizontal="center" vertical="center"/>
    </xf>
    <xf numFmtId="0" fontId="8" fillId="6" borderId="1" xfId="0" applyFont="1" applyFill="1" applyBorder="1" applyAlignment="1">
      <alignment horizontal="center" vertical="center" wrapText="1"/>
    </xf>
    <xf numFmtId="0" fontId="8" fillId="6" borderId="1" xfId="0" applyFont="1" applyFill="1" applyBorder="1" applyAlignment="1">
      <alignment horizontal="center" vertical="center"/>
    </xf>
    <xf numFmtId="0" fontId="0" fillId="0" borderId="0" xfId="0" applyAlignment="1">
      <alignment horizontal="center" vertical="center" wrapText="1"/>
    </xf>
    <xf numFmtId="0" fontId="0" fillId="3" borderId="4" xfId="0" applyFill="1" applyBorder="1" applyAlignment="1">
      <alignment horizontal="center" vertical="center"/>
    </xf>
    <xf numFmtId="0" fontId="0" fillId="3" borderId="7" xfId="0" applyFill="1" applyBorder="1" applyAlignment="1">
      <alignment horizontal="center" vertical="center"/>
    </xf>
    <xf numFmtId="0" fontId="0" fillId="3" borderId="5" xfId="0" applyFill="1" applyBorder="1" applyAlignment="1">
      <alignment horizontal="center" vertical="center"/>
    </xf>
    <xf numFmtId="0" fontId="0" fillId="0" borderId="0" xfId="0" applyAlignment="1">
      <alignment horizontal="left" wrapText="1"/>
    </xf>
    <xf numFmtId="0" fontId="0" fillId="0" borderId="0" xfId="0" applyAlignment="1">
      <alignment horizontal="center" wrapText="1"/>
    </xf>
    <xf numFmtId="0" fontId="0" fillId="0" borderId="2" xfId="0" applyBorder="1" applyAlignment="1">
      <alignment horizontal="center" vertical="center" textRotation="255"/>
    </xf>
    <xf numFmtId="0" fontId="0" fillId="0" borderId="6" xfId="0" applyBorder="1" applyAlignment="1">
      <alignment horizontal="center" vertical="center" textRotation="255"/>
    </xf>
    <xf numFmtId="0" fontId="0" fillId="0" borderId="3" xfId="0" applyBorder="1" applyAlignment="1">
      <alignment horizontal="center" vertical="center" textRotation="255"/>
    </xf>
    <xf numFmtId="0" fontId="39" fillId="7" borderId="14" xfId="0" applyFont="1" applyFill="1" applyBorder="1" applyAlignment="1">
      <alignment horizontal="center" vertical="center"/>
    </xf>
    <xf numFmtId="0" fontId="39" fillId="7" borderId="9" xfId="0" applyFont="1" applyFill="1" applyBorder="1" applyAlignment="1">
      <alignment horizontal="center" vertical="center"/>
    </xf>
    <xf numFmtId="0" fontId="39" fillId="7" borderId="15" xfId="0" applyFont="1" applyFill="1" applyBorder="1" applyAlignment="1">
      <alignment horizontal="center" vertical="center"/>
    </xf>
    <xf numFmtId="0" fontId="39" fillId="7" borderId="13" xfId="0" applyFont="1" applyFill="1" applyBorder="1" applyAlignment="1">
      <alignment horizontal="center" vertical="center"/>
    </xf>
    <xf numFmtId="0" fontId="39" fillId="7" borderId="0" xfId="0" applyFont="1" applyFill="1" applyAlignment="1">
      <alignment horizontal="center" vertical="center"/>
    </xf>
    <xf numFmtId="0" fontId="39" fillId="7" borderId="16" xfId="0" applyFont="1" applyFill="1" applyBorder="1" applyAlignment="1">
      <alignment horizontal="center" vertical="center"/>
    </xf>
    <xf numFmtId="0" fontId="39" fillId="7" borderId="4" xfId="0" applyFont="1" applyFill="1" applyBorder="1" applyAlignment="1">
      <alignment horizontal="center" vertical="center"/>
    </xf>
    <xf numFmtId="0" fontId="39" fillId="7" borderId="7" xfId="0" applyFont="1" applyFill="1" applyBorder="1" applyAlignment="1">
      <alignment horizontal="center" vertical="center"/>
    </xf>
    <xf numFmtId="0" fontId="39" fillId="7" borderId="5" xfId="0" applyFont="1" applyFill="1" applyBorder="1" applyAlignment="1">
      <alignment horizontal="center" vertical="center"/>
    </xf>
    <xf numFmtId="0" fontId="37" fillId="3" borderId="14" xfId="0" applyFont="1" applyFill="1" applyBorder="1" applyAlignment="1">
      <alignment horizontal="center" vertical="center"/>
    </xf>
    <xf numFmtId="0" fontId="37" fillId="3" borderId="9" xfId="0" applyFont="1" applyFill="1" applyBorder="1" applyAlignment="1">
      <alignment horizontal="center" vertical="center"/>
    </xf>
    <xf numFmtId="0" fontId="37" fillId="3" borderId="15" xfId="0" applyFont="1" applyFill="1" applyBorder="1" applyAlignment="1">
      <alignment horizontal="center" vertical="center"/>
    </xf>
    <xf numFmtId="0" fontId="37" fillId="3" borderId="4" xfId="0" applyFont="1" applyFill="1" applyBorder="1" applyAlignment="1">
      <alignment horizontal="center" vertical="center"/>
    </xf>
    <xf numFmtId="0" fontId="37" fillId="3" borderId="7" xfId="0" applyFont="1" applyFill="1" applyBorder="1" applyAlignment="1">
      <alignment horizontal="center" vertical="center"/>
    </xf>
    <xf numFmtId="0" fontId="37" fillId="3" borderId="5" xfId="0" applyFont="1" applyFill="1" applyBorder="1" applyAlignment="1">
      <alignment horizontal="center" vertical="center"/>
    </xf>
    <xf numFmtId="0" fontId="35" fillId="3" borderId="27" xfId="0" applyFont="1" applyFill="1" applyBorder="1" applyAlignment="1">
      <alignment horizontal="center"/>
    </xf>
    <xf numFmtId="0" fontId="35" fillId="3" borderId="28" xfId="0" applyFont="1" applyFill="1" applyBorder="1" applyAlignment="1">
      <alignment horizontal="center"/>
    </xf>
    <xf numFmtId="0" fontId="35" fillId="3" borderId="29" xfId="0" applyFont="1" applyFill="1" applyBorder="1" applyAlignment="1">
      <alignment horizontal="center"/>
    </xf>
    <xf numFmtId="0" fontId="0" fillId="0" borderId="30" xfId="0" applyBorder="1" applyAlignment="1">
      <alignment horizontal="left" vertical="center" wrapText="1"/>
    </xf>
    <xf numFmtId="0" fontId="0" fillId="0" borderId="31" xfId="0" applyBorder="1" applyAlignment="1">
      <alignment horizontal="left" vertical="center" wrapText="1"/>
    </xf>
    <xf numFmtId="0" fontId="0" fillId="0" borderId="32" xfId="0" applyBorder="1" applyAlignment="1">
      <alignment horizontal="left" vertical="center" wrapText="1"/>
    </xf>
    <xf numFmtId="0" fontId="0" fillId="0" borderId="33" xfId="0" applyBorder="1" applyAlignment="1">
      <alignment horizontal="left" vertical="center" wrapText="1"/>
    </xf>
    <xf numFmtId="0" fontId="0" fillId="0" borderId="0" xfId="0" applyAlignment="1">
      <alignment horizontal="left" vertical="center" wrapText="1"/>
    </xf>
    <xf numFmtId="0" fontId="0" fillId="0" borderId="34" xfId="0" applyBorder="1" applyAlignment="1">
      <alignment horizontal="left" vertical="center" wrapText="1"/>
    </xf>
    <xf numFmtId="0" fontId="0" fillId="0" borderId="35" xfId="0" applyBorder="1" applyAlignment="1">
      <alignment horizontal="left" vertical="center" wrapText="1"/>
    </xf>
    <xf numFmtId="0" fontId="0" fillId="0" borderId="36" xfId="0" applyBorder="1" applyAlignment="1">
      <alignment horizontal="left" vertical="center" wrapText="1"/>
    </xf>
    <xf numFmtId="0" fontId="0" fillId="0" borderId="37" xfId="0" applyBorder="1" applyAlignment="1">
      <alignment horizontal="left" vertical="center" wrapText="1"/>
    </xf>
    <xf numFmtId="0" fontId="37" fillId="17" borderId="1" xfId="0" applyFont="1" applyFill="1" applyBorder="1" applyAlignment="1">
      <alignment horizontal="center" vertical="center"/>
    </xf>
    <xf numFmtId="0" fontId="37" fillId="2" borderId="0" xfId="0" applyFont="1" applyFill="1" applyAlignment="1">
      <alignment horizontal="center"/>
    </xf>
    <xf numFmtId="0" fontId="37" fillId="2" borderId="16" xfId="0" applyFont="1" applyFill="1" applyBorder="1" applyAlignment="1">
      <alignment horizontal="center"/>
    </xf>
    <xf numFmtId="0" fontId="29" fillId="0" borderId="1" xfId="0" applyFont="1" applyBorder="1"/>
    <xf numFmtId="0" fontId="24" fillId="0" borderId="0" xfId="0" applyFont="1" applyAlignment="1">
      <alignment horizontal="left"/>
    </xf>
    <xf numFmtId="0" fontId="0" fillId="0" borderId="0" xfId="0"/>
    <xf numFmtId="0" fontId="29" fillId="0" borderId="0" xfId="0" applyFont="1"/>
    <xf numFmtId="0" fontId="29" fillId="0" borderId="0" xfId="0" applyFont="1" applyAlignment="1">
      <alignment horizontal="left"/>
    </xf>
    <xf numFmtId="0" fontId="29" fillId="0" borderId="36" xfId="0" applyFont="1" applyBorder="1" applyAlignment="1">
      <alignment horizontal="left"/>
    </xf>
    <xf numFmtId="0" fontId="0" fillId="0" borderId="36" xfId="0" applyBorder="1"/>
    <xf numFmtId="0" fontId="34" fillId="0" borderId="27" xfId="0" applyFont="1" applyBorder="1" applyAlignment="1">
      <alignment horizontal="left"/>
    </xf>
    <xf numFmtId="0" fontId="34" fillId="0" borderId="28" xfId="0" applyFont="1" applyBorder="1" applyAlignment="1">
      <alignment horizontal="left"/>
    </xf>
    <xf numFmtId="0" fontId="25" fillId="0" borderId="28" xfId="0" applyFont="1" applyBorder="1"/>
    <xf numFmtId="0" fontId="25" fillId="0" borderId="29" xfId="0" applyFont="1" applyBorder="1"/>
    <xf numFmtId="0" fontId="64" fillId="0" borderId="2" xfId="0" applyFont="1" applyBorder="1"/>
    <xf numFmtId="0" fontId="0" fillId="0" borderId="2" xfId="0" applyBorder="1"/>
    <xf numFmtId="0" fontId="64" fillId="0" borderId="55" xfId="0" applyFont="1" applyBorder="1" applyAlignment="1">
      <alignment horizontal="center"/>
    </xf>
    <xf numFmtId="0" fontId="64" fillId="0" borderId="21" xfId="0" applyFont="1" applyBorder="1" applyAlignment="1">
      <alignment horizontal="center"/>
    </xf>
    <xf numFmtId="0" fontId="65" fillId="0" borderId="50" xfId="0" applyFont="1" applyBorder="1" applyAlignment="1">
      <alignment horizontal="left" wrapText="1"/>
    </xf>
    <xf numFmtId="0" fontId="66" fillId="0" borderId="51" xfId="0" applyFont="1" applyBorder="1" applyAlignment="1">
      <alignment wrapText="1"/>
    </xf>
    <xf numFmtId="0" fontId="66" fillId="0" borderId="24" xfId="0" applyFont="1" applyBorder="1" applyAlignment="1">
      <alignment wrapText="1"/>
    </xf>
    <xf numFmtId="0" fontId="66" fillId="0" borderId="26" xfId="0" applyFont="1" applyBorder="1" applyAlignment="1">
      <alignment wrapText="1"/>
    </xf>
    <xf numFmtId="0" fontId="34" fillId="0" borderId="14" xfId="0" applyFont="1" applyBorder="1" applyAlignment="1">
      <alignment horizontal="center" vertical="center"/>
    </xf>
    <xf numFmtId="0" fontId="34" fillId="0" borderId="15" xfId="0" applyFont="1" applyBorder="1" applyAlignment="1">
      <alignment horizontal="center" vertical="center"/>
    </xf>
    <xf numFmtId="0" fontId="34" fillId="0" borderId="4" xfId="0" applyFont="1" applyBorder="1" applyAlignment="1">
      <alignment horizontal="center" vertical="center"/>
    </xf>
    <xf numFmtId="0" fontId="34" fillId="0" borderId="5" xfId="0" applyFont="1" applyBorder="1" applyAlignment="1">
      <alignment horizontal="center" vertical="center"/>
    </xf>
    <xf numFmtId="0" fontId="34" fillId="0" borderId="2" xfId="0" applyFont="1" applyBorder="1" applyAlignment="1">
      <alignment horizontal="center" vertical="center"/>
    </xf>
    <xf numFmtId="0" fontId="34" fillId="0" borderId="3" xfId="0" applyFont="1" applyBorder="1" applyAlignment="1">
      <alignment horizontal="center" vertical="center"/>
    </xf>
    <xf numFmtId="0" fontId="0" fillId="0" borderId="10" xfId="0" applyBorder="1" applyAlignment="1">
      <alignment horizontal="center" vertical="center"/>
    </xf>
    <xf numFmtId="0" fontId="0" fillId="0" borderId="12" xfId="0" applyBorder="1" applyAlignment="1">
      <alignment horizontal="center" vertical="center"/>
    </xf>
    <xf numFmtId="0" fontId="0" fillId="0" borderId="11" xfId="0" applyBorder="1" applyAlignment="1">
      <alignment horizontal="center" vertical="center"/>
    </xf>
    <xf numFmtId="0" fontId="24" fillId="15" borderId="10" xfId="0" applyFont="1" applyFill="1" applyBorder="1" applyAlignment="1">
      <alignment horizontal="center" vertical="center" wrapText="1"/>
    </xf>
    <xf numFmtId="0" fontId="24" fillId="15" borderId="12" xfId="0" applyFont="1" applyFill="1" applyBorder="1" applyAlignment="1">
      <alignment horizontal="center" vertical="center"/>
    </xf>
    <xf numFmtId="0" fontId="24" fillId="15" borderId="11" xfId="0" applyFont="1" applyFill="1" applyBorder="1" applyAlignment="1">
      <alignment horizontal="center" vertical="center"/>
    </xf>
    <xf numFmtId="0" fontId="26" fillId="16" borderId="17" xfId="0" applyFont="1" applyFill="1" applyBorder="1" applyAlignment="1">
      <alignment horizontal="center"/>
    </xf>
    <xf numFmtId="0" fontId="26" fillId="16" borderId="18" xfId="0" applyFont="1" applyFill="1" applyBorder="1" applyAlignment="1">
      <alignment horizontal="center"/>
    </xf>
    <xf numFmtId="0" fontId="26" fillId="16" borderId="19" xfId="0" applyFont="1" applyFill="1" applyBorder="1" applyAlignment="1">
      <alignment horizontal="center"/>
    </xf>
    <xf numFmtId="0" fontId="0" fillId="0" borderId="20" xfId="0" applyBorder="1" applyAlignment="1">
      <alignment horizontal="center"/>
    </xf>
    <xf numFmtId="0" fontId="0" fillId="0" borderId="3" xfId="0" applyBorder="1" applyAlignment="1">
      <alignment horizontal="center"/>
    </xf>
    <xf numFmtId="0" fontId="0" fillId="0" borderId="21" xfId="0" applyBorder="1" applyAlignment="1">
      <alignment horizontal="center"/>
    </xf>
    <xf numFmtId="0" fontId="34" fillId="0" borderId="6" xfId="0" applyFont="1" applyBorder="1" applyAlignment="1">
      <alignment horizontal="center" vertical="center"/>
    </xf>
    <xf numFmtId="0" fontId="0" fillId="0" borderId="1" xfId="0" applyBorder="1" applyAlignment="1">
      <alignment horizontal="center" vertical="center" wrapText="1"/>
    </xf>
    <xf numFmtId="0" fontId="14" fillId="0" borderId="1" xfId="0" applyFont="1" applyBorder="1" applyAlignment="1">
      <alignment horizontal="center" vertical="center" wrapText="1"/>
    </xf>
    <xf numFmtId="0" fontId="16" fillId="0" borderId="1" xfId="0" applyFont="1" applyBorder="1" applyAlignment="1">
      <alignment horizontal="center"/>
    </xf>
    <xf numFmtId="0" fontId="0" fillId="0" borderId="7" xfId="0" applyBorder="1" applyAlignment="1">
      <alignment horizontal="center" wrapText="1"/>
    </xf>
    <xf numFmtId="0" fontId="12" fillId="0" borderId="9" xfId="0" applyFont="1" applyBorder="1" applyAlignment="1">
      <alignment horizontal="center" vertical="center" wrapText="1"/>
    </xf>
    <xf numFmtId="0" fontId="12" fillId="0" borderId="0" xfId="0" applyFont="1" applyAlignment="1">
      <alignment horizontal="center" vertical="center" wrapText="1"/>
    </xf>
    <xf numFmtId="0" fontId="12" fillId="0" borderId="1" xfId="0" applyFont="1" applyBorder="1" applyAlignment="1">
      <alignment horizontal="center" vertical="center" wrapText="1"/>
    </xf>
    <xf numFmtId="0" fontId="15" fillId="0" borderId="1" xfId="0" applyFont="1" applyBorder="1" applyAlignment="1">
      <alignment horizontal="center" vertical="center" wrapText="1"/>
    </xf>
    <xf numFmtId="0" fontId="0" fillId="0" borderId="9" xfId="0" applyBorder="1" applyAlignment="1">
      <alignment horizontal="left" vertical="center" wrapText="1"/>
    </xf>
    <xf numFmtId="0" fontId="14" fillId="0" borderId="10" xfId="0" applyFont="1" applyBorder="1" applyAlignment="1">
      <alignment horizontal="center" vertical="center" wrapText="1"/>
    </xf>
    <xf numFmtId="0" fontId="14" fillId="0" borderId="12" xfId="0" applyFont="1" applyBorder="1" applyAlignment="1">
      <alignment horizontal="center" vertical="center" wrapText="1"/>
    </xf>
    <xf numFmtId="0" fontId="14" fillId="0" borderId="11" xfId="0" applyFont="1" applyBorder="1" applyAlignment="1">
      <alignment horizontal="center" vertical="center" wrapText="1"/>
    </xf>
  </cellXfs>
  <cellStyles count="2">
    <cellStyle name="Hipervínculo" xfId="1" builtinId="8"/>
    <cellStyle name="Normal" xfId="0" builtinId="0"/>
  </cellStyles>
  <dxfs count="2">
    <dxf>
      <font>
        <b/>
        <i val="0"/>
        <condense val="0"/>
        <extend val="0"/>
        <color indexed="10"/>
      </font>
    </dxf>
    <dxf>
      <font>
        <b/>
        <i val="0"/>
        <condense val="0"/>
        <extend val="0"/>
        <color indexed="10"/>
      </font>
    </dxf>
  </dxfs>
  <tableStyles count="0" defaultTableStyle="TableStyleMedium2" defaultPivotStyle="PivotStyleLight16"/>
  <colors>
    <mruColors>
      <color rgb="FFF686E1"/>
      <color rgb="FF08EA1E"/>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6.xml"/><Relationship Id="rId13" Type="http://schemas.openxmlformats.org/officeDocument/2006/relationships/worksheet" Target="worksheets/sheet11.xml"/><Relationship Id="rId18" Type="http://schemas.openxmlformats.org/officeDocument/2006/relationships/worksheet" Target="worksheets/sheet16.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19.xml"/><Relationship Id="rId7" Type="http://schemas.openxmlformats.org/officeDocument/2006/relationships/chartsheet" Target="chartsheets/sheet2.xml"/><Relationship Id="rId12" Type="http://schemas.openxmlformats.org/officeDocument/2006/relationships/worksheet" Target="worksheets/sheet10.xml"/><Relationship Id="rId17" Type="http://schemas.openxmlformats.org/officeDocument/2006/relationships/worksheet" Target="worksheets/sheet15.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4.xml"/><Relationship Id="rId20" Type="http://schemas.openxmlformats.org/officeDocument/2006/relationships/worksheet" Target="worksheets/sheet18.xml"/><Relationship Id="rId1" Type="http://schemas.openxmlformats.org/officeDocument/2006/relationships/worksheet" Target="worksheets/sheet1.xml"/><Relationship Id="rId6" Type="http://schemas.openxmlformats.org/officeDocument/2006/relationships/chartsheet" Target="chartsheets/sheet1.xml"/><Relationship Id="rId11" Type="http://schemas.openxmlformats.org/officeDocument/2006/relationships/worksheet" Target="worksheets/sheet9.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3.xml"/><Relationship Id="rId23" Type="http://schemas.openxmlformats.org/officeDocument/2006/relationships/theme" Target="theme/theme1.xml"/><Relationship Id="rId10" Type="http://schemas.openxmlformats.org/officeDocument/2006/relationships/worksheet" Target="worksheets/sheet8.xml"/><Relationship Id="rId19" Type="http://schemas.openxmlformats.org/officeDocument/2006/relationships/worksheet" Target="worksheets/sheet17.xml"/><Relationship Id="rId4" Type="http://schemas.openxmlformats.org/officeDocument/2006/relationships/worksheet" Target="worksheets/sheet4.xml"/><Relationship Id="rId9" Type="http://schemas.openxmlformats.org/officeDocument/2006/relationships/worksheet" Target="worksheets/sheet7.xml"/><Relationship Id="rId14" Type="http://schemas.openxmlformats.org/officeDocument/2006/relationships/worksheet" Target="worksheets/sheet12.xml"/><Relationship Id="rId22" Type="http://schemas.openxmlformats.org/officeDocument/2006/relationships/externalLink" Target="externalLinks/externalLink1.xml"/><Relationship Id="rId27" Type="http://schemas.microsoft.com/office/2006/relationships/vbaProject" Target="vbaProject.bin"/></Relationships>
</file>

<file path=xl/charts/_rels/chart4.xml.rels><?xml version="1.0" encoding="UTF-8" standalone="yes"?>
<Relationships xmlns="http://schemas.openxmlformats.org/package/2006/relationships"><Relationship Id="rId1" Type="http://schemas.openxmlformats.org/officeDocument/2006/relationships/themeOverride" Target="../theme/themeOverride1.xml"/></Relationships>
</file>

<file path=xl/charts/_rels/chart5.xml.rels><?xml version="1.0" encoding="UTF-8" standalone="yes"?>
<Relationships xmlns="http://schemas.openxmlformats.org/package/2006/relationships"><Relationship Id="rId1" Type="http://schemas.openxmlformats.org/officeDocument/2006/relationships/themeOverride" Target="../theme/themeOverrid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Fusible Dual</a:t>
            </a:r>
            <a:r>
              <a:rPr lang="es-CO" baseline="0"/>
              <a:t>  </a:t>
            </a:r>
            <a:endParaRPr lang="es-CO"/>
          </a:p>
        </c:rich>
      </c:tx>
      <c:overlay val="1"/>
    </c:title>
    <c:autoTitleDeleted val="0"/>
    <c:plotArea>
      <c:layout>
        <c:manualLayout>
          <c:layoutTarget val="inner"/>
          <c:xMode val="edge"/>
          <c:yMode val="edge"/>
          <c:x val="9.0387437782627117E-2"/>
          <c:y val="9.7315595695908433E-2"/>
          <c:w val="0.85509385584834563"/>
          <c:h val="0.73490053301393043"/>
        </c:manualLayout>
      </c:layout>
      <c:scatterChart>
        <c:scatterStyle val="smoothMarker"/>
        <c:varyColors val="0"/>
        <c:ser>
          <c:idx val="0"/>
          <c:order val="0"/>
          <c:tx>
            <c:v>Cap. Termica</c:v>
          </c:tx>
          <c:spPr>
            <a:ln w="28575">
              <a:solidFill>
                <a:srgbClr val="FF0000"/>
              </a:solidFill>
              <a:prstDash val="solid"/>
            </a:ln>
          </c:spPr>
          <c:marker>
            <c:symbol val="none"/>
          </c:marker>
          <c:xVal>
            <c:numRef>
              <c:f>FUSIBLES!$N$5:$N$11</c:f>
              <c:numCache>
                <c:formatCode>0.00</c:formatCode>
                <c:ptCount val="7"/>
                <c:pt idx="0">
                  <c:v>127.04545454545455</c:v>
                </c:pt>
                <c:pt idx="1">
                  <c:v>28.40909090909091</c:v>
                </c:pt>
                <c:pt idx="2">
                  <c:v>12.840909090909093</c:v>
                </c:pt>
                <c:pt idx="3">
                  <c:v>7.1590909090909092</c:v>
                </c:pt>
                <c:pt idx="4">
                  <c:v>5.3977272727272734</c:v>
                </c:pt>
                <c:pt idx="5">
                  <c:v>3.4090909090909092</c:v>
                </c:pt>
                <c:pt idx="6">
                  <c:v>2.2727272727272729</c:v>
                </c:pt>
              </c:numCache>
            </c:numRef>
          </c:xVal>
          <c:yVal>
            <c:numRef>
              <c:f>FUSIBLES!$M$5:$M$11</c:f>
              <c:numCache>
                <c:formatCode>General</c:formatCode>
                <c:ptCount val="7"/>
                <c:pt idx="0">
                  <c:v>0.1</c:v>
                </c:pt>
                <c:pt idx="1">
                  <c:v>2</c:v>
                </c:pt>
                <c:pt idx="2">
                  <c:v>10</c:v>
                </c:pt>
                <c:pt idx="3">
                  <c:v>30</c:v>
                </c:pt>
                <c:pt idx="4">
                  <c:v>60</c:v>
                </c:pt>
                <c:pt idx="5">
                  <c:v>300</c:v>
                </c:pt>
                <c:pt idx="6">
                  <c:v>1800</c:v>
                </c:pt>
              </c:numCache>
            </c:numRef>
          </c:yVal>
          <c:smooth val="1"/>
          <c:extLst>
            <c:ext xmlns:c16="http://schemas.microsoft.com/office/drawing/2014/chart" uri="{C3380CC4-5D6E-409C-BE32-E72D297353CC}">
              <c16:uniqueId val="{00000000-6D77-4468-8EA4-E23DF40FAF44}"/>
            </c:ext>
          </c:extLst>
        </c:ser>
        <c:ser>
          <c:idx val="1"/>
          <c:order val="1"/>
          <c:tx>
            <c:v>Cap. Sobrecarga</c:v>
          </c:tx>
          <c:spPr>
            <a:ln w="28575">
              <a:solidFill>
                <a:srgbClr val="FFFF00"/>
              </a:solidFill>
            </a:ln>
          </c:spPr>
          <c:marker>
            <c:symbol val="none"/>
          </c:marker>
          <c:xVal>
            <c:numRef>
              <c:f>FUSIBLES!$Q$5:$Q$9</c:f>
              <c:numCache>
                <c:formatCode>0.00</c:formatCode>
                <c:ptCount val="5"/>
                <c:pt idx="0">
                  <c:v>2.2159090909090913</c:v>
                </c:pt>
                <c:pt idx="1">
                  <c:v>1.9198564593301439</c:v>
                </c:pt>
                <c:pt idx="2">
                  <c:v>1.6806220095693782</c:v>
                </c:pt>
                <c:pt idx="3">
                  <c:v>1.5101674641148326</c:v>
                </c:pt>
                <c:pt idx="4">
                  <c:v>1.3157894736842106</c:v>
                </c:pt>
              </c:numCache>
            </c:numRef>
          </c:xVal>
          <c:yVal>
            <c:numRef>
              <c:f>FUSIBLES!$P$5:$P$9</c:f>
              <c:numCache>
                <c:formatCode>General</c:formatCode>
                <c:ptCount val="5"/>
                <c:pt idx="0">
                  <c:v>3600</c:v>
                </c:pt>
                <c:pt idx="1">
                  <c:v>7200</c:v>
                </c:pt>
                <c:pt idx="2">
                  <c:v>14400</c:v>
                </c:pt>
                <c:pt idx="3">
                  <c:v>28800</c:v>
                </c:pt>
                <c:pt idx="4">
                  <c:v>86400</c:v>
                </c:pt>
              </c:numCache>
            </c:numRef>
          </c:yVal>
          <c:smooth val="1"/>
          <c:extLst>
            <c:ext xmlns:c16="http://schemas.microsoft.com/office/drawing/2014/chart" uri="{C3380CC4-5D6E-409C-BE32-E72D297353CC}">
              <c16:uniqueId val="{00000001-6D77-4468-8EA4-E23DF40FAF44}"/>
            </c:ext>
          </c:extLst>
        </c:ser>
        <c:ser>
          <c:idx val="2"/>
          <c:order val="2"/>
          <c:tx>
            <c:v>Energización</c:v>
          </c:tx>
          <c:spPr>
            <a:ln w="28575">
              <a:solidFill>
                <a:srgbClr val="00B050"/>
              </a:solidFill>
            </a:ln>
          </c:spPr>
          <c:marker>
            <c:symbol val="none"/>
          </c:marker>
          <c:xVal>
            <c:numRef>
              <c:f>FUSIBLES!$T$5:$T$8</c:f>
              <c:numCache>
                <c:formatCode>0.00</c:formatCode>
                <c:ptCount val="4"/>
                <c:pt idx="0">
                  <c:v>28.40909090909091</c:v>
                </c:pt>
                <c:pt idx="1">
                  <c:v>13.636363636363637</c:v>
                </c:pt>
                <c:pt idx="2">
                  <c:v>6.8181818181818183</c:v>
                </c:pt>
                <c:pt idx="3">
                  <c:v>3.4090909090909092</c:v>
                </c:pt>
              </c:numCache>
            </c:numRef>
          </c:xVal>
          <c:yVal>
            <c:numRef>
              <c:f>FUSIBLES!$S$5:$S$8</c:f>
              <c:numCache>
                <c:formatCode>General</c:formatCode>
                <c:ptCount val="4"/>
                <c:pt idx="0">
                  <c:v>0.01</c:v>
                </c:pt>
                <c:pt idx="1">
                  <c:v>0.1</c:v>
                </c:pt>
                <c:pt idx="2">
                  <c:v>1</c:v>
                </c:pt>
                <c:pt idx="3">
                  <c:v>10</c:v>
                </c:pt>
              </c:numCache>
            </c:numRef>
          </c:yVal>
          <c:smooth val="1"/>
          <c:extLst>
            <c:ext xmlns:c16="http://schemas.microsoft.com/office/drawing/2014/chart" uri="{C3380CC4-5D6E-409C-BE32-E72D297353CC}">
              <c16:uniqueId val="{00000002-6D77-4468-8EA4-E23DF40FAF44}"/>
            </c:ext>
          </c:extLst>
        </c:ser>
        <c:ser>
          <c:idx val="3"/>
          <c:order val="3"/>
          <c:tx>
            <c:v>In</c:v>
          </c:tx>
          <c:spPr>
            <a:ln w="12700">
              <a:solidFill>
                <a:srgbClr val="F686E1"/>
              </a:solidFill>
            </a:ln>
          </c:spPr>
          <c:marker>
            <c:symbol val="none"/>
          </c:marker>
          <c:xVal>
            <c:numRef>
              <c:f>FUSIBLES!$I$13:$I$29</c:f>
              <c:numCache>
                <c:formatCode>General</c:formatCode>
                <c:ptCount val="17"/>
                <c:pt idx="0">
                  <c:v>1.2</c:v>
                </c:pt>
                <c:pt idx="1">
                  <c:v>1.37</c:v>
                </c:pt>
                <c:pt idx="2">
                  <c:v>1.5</c:v>
                </c:pt>
                <c:pt idx="3">
                  <c:v>1.9</c:v>
                </c:pt>
                <c:pt idx="4">
                  <c:v>2.7</c:v>
                </c:pt>
                <c:pt idx="5">
                  <c:v>5.8</c:v>
                </c:pt>
                <c:pt idx="6">
                  <c:v>8.6999999999999993</c:v>
                </c:pt>
                <c:pt idx="7">
                  <c:v>9.8000000000000007</c:v>
                </c:pt>
                <c:pt idx="8">
                  <c:v>12</c:v>
                </c:pt>
                <c:pt idx="9">
                  <c:v>16.3</c:v>
                </c:pt>
                <c:pt idx="10">
                  <c:v>36</c:v>
                </c:pt>
                <c:pt idx="11">
                  <c:v>39</c:v>
                </c:pt>
                <c:pt idx="12">
                  <c:v>41</c:v>
                </c:pt>
                <c:pt idx="13">
                  <c:v>44</c:v>
                </c:pt>
                <c:pt idx="14">
                  <c:v>48</c:v>
                </c:pt>
                <c:pt idx="15">
                  <c:v>52</c:v>
                </c:pt>
                <c:pt idx="16">
                  <c:v>58</c:v>
                </c:pt>
              </c:numCache>
            </c:numRef>
          </c:xVal>
          <c:yVal>
            <c:numRef>
              <c:f>FUSIBLES!$H$13:$H$29</c:f>
              <c:numCache>
                <c:formatCode>General</c:formatCode>
                <c:ptCount val="17"/>
                <c:pt idx="0">
                  <c:v>300</c:v>
                </c:pt>
                <c:pt idx="1">
                  <c:v>180</c:v>
                </c:pt>
                <c:pt idx="2">
                  <c:v>120</c:v>
                </c:pt>
                <c:pt idx="3">
                  <c:v>60</c:v>
                </c:pt>
                <c:pt idx="4">
                  <c:v>30</c:v>
                </c:pt>
                <c:pt idx="5">
                  <c:v>10</c:v>
                </c:pt>
                <c:pt idx="6">
                  <c:v>4</c:v>
                </c:pt>
                <c:pt idx="7">
                  <c:v>2</c:v>
                </c:pt>
                <c:pt idx="8">
                  <c:v>1</c:v>
                </c:pt>
                <c:pt idx="9">
                  <c:v>0.5</c:v>
                </c:pt>
                <c:pt idx="10">
                  <c:v>0.1</c:v>
                </c:pt>
                <c:pt idx="11">
                  <c:v>0.09</c:v>
                </c:pt>
                <c:pt idx="12">
                  <c:v>0.08</c:v>
                </c:pt>
                <c:pt idx="13">
                  <c:v>7.0000000000000007E-2</c:v>
                </c:pt>
                <c:pt idx="14">
                  <c:v>0.06</c:v>
                </c:pt>
                <c:pt idx="15">
                  <c:v>0.05</c:v>
                </c:pt>
                <c:pt idx="16">
                  <c:v>0.04</c:v>
                </c:pt>
              </c:numCache>
            </c:numRef>
          </c:yVal>
          <c:smooth val="1"/>
          <c:extLst>
            <c:ext xmlns:c16="http://schemas.microsoft.com/office/drawing/2014/chart" uri="{C3380CC4-5D6E-409C-BE32-E72D297353CC}">
              <c16:uniqueId val="{00000003-6D77-4468-8EA4-E23DF40FAF44}"/>
            </c:ext>
          </c:extLst>
        </c:ser>
        <c:ser>
          <c:idx val="4"/>
          <c:order val="4"/>
          <c:tx>
            <c:v>Curva de fusión</c:v>
          </c:tx>
          <c:spPr>
            <a:ln w="28575"/>
          </c:spPr>
          <c:marker>
            <c:symbol val="none"/>
          </c:marker>
          <c:xVal>
            <c:numRef>
              <c:f>FUSIBLES!$I$4:$I$9</c:f>
              <c:numCache>
                <c:formatCode>0.00</c:formatCode>
                <c:ptCount val="6"/>
                <c:pt idx="0">
                  <c:v>1.1363636363636365</c:v>
                </c:pt>
                <c:pt idx="1">
                  <c:v>1.1363636363636365</c:v>
                </c:pt>
                <c:pt idx="2">
                  <c:v>1.1363636363636365</c:v>
                </c:pt>
                <c:pt idx="3">
                  <c:v>1.1363636363636365</c:v>
                </c:pt>
                <c:pt idx="4">
                  <c:v>1.1363636363636365</c:v>
                </c:pt>
                <c:pt idx="5">
                  <c:v>1.1363636363636365</c:v>
                </c:pt>
              </c:numCache>
            </c:numRef>
          </c:xVal>
          <c:yVal>
            <c:numRef>
              <c:f>FUSIBLES!$H$4:$H$9</c:f>
              <c:numCache>
                <c:formatCode>General</c:formatCode>
                <c:ptCount val="6"/>
                <c:pt idx="0">
                  <c:v>1E-3</c:v>
                </c:pt>
                <c:pt idx="1">
                  <c:v>0.1</c:v>
                </c:pt>
                <c:pt idx="2">
                  <c:v>1</c:v>
                </c:pt>
                <c:pt idx="3">
                  <c:v>10</c:v>
                </c:pt>
                <c:pt idx="4">
                  <c:v>100</c:v>
                </c:pt>
                <c:pt idx="5">
                  <c:v>1000</c:v>
                </c:pt>
              </c:numCache>
            </c:numRef>
          </c:yVal>
          <c:smooth val="1"/>
          <c:extLst>
            <c:ext xmlns:c16="http://schemas.microsoft.com/office/drawing/2014/chart" uri="{C3380CC4-5D6E-409C-BE32-E72D297353CC}">
              <c16:uniqueId val="{00000004-6D77-4468-8EA4-E23DF40FAF44}"/>
            </c:ext>
          </c:extLst>
        </c:ser>
        <c:ser>
          <c:idx val="5"/>
          <c:order val="5"/>
          <c:tx>
            <c:v>Curva de Despeje</c:v>
          </c:tx>
          <c:spPr>
            <a:ln w="12700">
              <a:solidFill>
                <a:srgbClr val="F686E1"/>
              </a:solidFill>
            </a:ln>
          </c:spPr>
          <c:marker>
            <c:symbol val="none"/>
          </c:marker>
          <c:xVal>
            <c:numRef>
              <c:f>FUSIBLES!$K$13:$K$29</c:f>
              <c:numCache>
                <c:formatCode>General</c:formatCode>
                <c:ptCount val="17"/>
                <c:pt idx="0">
                  <c:v>1.5</c:v>
                </c:pt>
                <c:pt idx="1">
                  <c:v>1.65</c:v>
                </c:pt>
                <c:pt idx="2">
                  <c:v>1.8</c:v>
                </c:pt>
                <c:pt idx="3">
                  <c:v>2.2999999999999998</c:v>
                </c:pt>
                <c:pt idx="4">
                  <c:v>3.2</c:v>
                </c:pt>
                <c:pt idx="5">
                  <c:v>6.7</c:v>
                </c:pt>
                <c:pt idx="6">
                  <c:v>10.5</c:v>
                </c:pt>
                <c:pt idx="7">
                  <c:v>12</c:v>
                </c:pt>
                <c:pt idx="8">
                  <c:v>14</c:v>
                </c:pt>
                <c:pt idx="9">
                  <c:v>18.7</c:v>
                </c:pt>
                <c:pt idx="10">
                  <c:v>45</c:v>
                </c:pt>
                <c:pt idx="11">
                  <c:v>48</c:v>
                </c:pt>
                <c:pt idx="12">
                  <c:v>52</c:v>
                </c:pt>
                <c:pt idx="13">
                  <c:v>57</c:v>
                </c:pt>
                <c:pt idx="14">
                  <c:v>64</c:v>
                </c:pt>
                <c:pt idx="15">
                  <c:v>72</c:v>
                </c:pt>
                <c:pt idx="16">
                  <c:v>84</c:v>
                </c:pt>
              </c:numCache>
            </c:numRef>
          </c:xVal>
          <c:yVal>
            <c:numRef>
              <c:f>FUSIBLES!$J$13:$J$29</c:f>
              <c:numCache>
                <c:formatCode>General</c:formatCode>
                <c:ptCount val="17"/>
                <c:pt idx="0">
                  <c:v>300</c:v>
                </c:pt>
                <c:pt idx="1">
                  <c:v>180</c:v>
                </c:pt>
                <c:pt idx="2">
                  <c:v>120</c:v>
                </c:pt>
                <c:pt idx="3">
                  <c:v>60</c:v>
                </c:pt>
                <c:pt idx="4">
                  <c:v>30</c:v>
                </c:pt>
                <c:pt idx="5">
                  <c:v>10</c:v>
                </c:pt>
                <c:pt idx="6">
                  <c:v>4</c:v>
                </c:pt>
                <c:pt idx="7">
                  <c:v>2</c:v>
                </c:pt>
                <c:pt idx="8">
                  <c:v>1</c:v>
                </c:pt>
                <c:pt idx="9">
                  <c:v>0.5</c:v>
                </c:pt>
                <c:pt idx="10">
                  <c:v>0.1</c:v>
                </c:pt>
                <c:pt idx="11">
                  <c:v>0.09</c:v>
                </c:pt>
                <c:pt idx="12">
                  <c:v>0.08</c:v>
                </c:pt>
                <c:pt idx="13">
                  <c:v>7.0000000000000007E-2</c:v>
                </c:pt>
                <c:pt idx="14">
                  <c:v>0.06</c:v>
                </c:pt>
                <c:pt idx="15">
                  <c:v>0.05</c:v>
                </c:pt>
                <c:pt idx="16">
                  <c:v>0.04</c:v>
                </c:pt>
              </c:numCache>
            </c:numRef>
          </c:yVal>
          <c:smooth val="1"/>
          <c:extLst>
            <c:ext xmlns:c16="http://schemas.microsoft.com/office/drawing/2014/chart" uri="{C3380CC4-5D6E-409C-BE32-E72D297353CC}">
              <c16:uniqueId val="{00000005-6D77-4468-8EA4-E23DF40FAF44}"/>
            </c:ext>
          </c:extLst>
        </c:ser>
        <c:dLbls>
          <c:showLegendKey val="0"/>
          <c:showVal val="0"/>
          <c:showCatName val="0"/>
          <c:showSerName val="0"/>
          <c:showPercent val="0"/>
          <c:showBubbleSize val="0"/>
        </c:dLbls>
        <c:axId val="260652064"/>
        <c:axId val="260653632"/>
      </c:scatterChart>
      <c:valAx>
        <c:axId val="260652064"/>
        <c:scaling>
          <c:logBase val="10"/>
          <c:orientation val="minMax"/>
        </c:scaling>
        <c:delete val="0"/>
        <c:axPos val="b"/>
        <c:majorGridlines>
          <c:spPr>
            <a:ln w="3175">
              <a:solidFill>
                <a:srgbClr val="000000"/>
              </a:solidFill>
              <a:prstDash val="solid"/>
            </a:ln>
          </c:spPr>
        </c:majorGridlines>
        <c:minorGridlines/>
        <c:title>
          <c:overlay val="0"/>
        </c:title>
        <c:numFmt formatCode="0.00" sourceLinked="1"/>
        <c:majorTickMark val="out"/>
        <c:minorTickMark val="out"/>
        <c:tickLblPos val="low"/>
        <c:spPr>
          <a:ln w="3175">
            <a:solidFill>
              <a:srgbClr val="000000"/>
            </a:solidFill>
            <a:prstDash val="solid"/>
          </a:ln>
        </c:spPr>
        <c:txPr>
          <a:bodyPr rot="0" vert="horz"/>
          <a:lstStyle/>
          <a:p>
            <a:pPr>
              <a:defRPr/>
            </a:pPr>
            <a:endParaRPr lang="es-CO"/>
          </a:p>
        </c:txPr>
        <c:crossAx val="260653632"/>
        <c:crosses val="autoZero"/>
        <c:crossBetween val="midCat"/>
      </c:valAx>
      <c:valAx>
        <c:axId val="260653632"/>
        <c:scaling>
          <c:logBase val="10"/>
          <c:orientation val="minMax"/>
        </c:scaling>
        <c:delete val="0"/>
        <c:axPos val="l"/>
        <c:majorGridlines>
          <c:spPr>
            <a:ln w="3175">
              <a:solidFill>
                <a:srgbClr val="000000"/>
              </a:solidFill>
              <a:prstDash val="solid"/>
            </a:ln>
          </c:spPr>
        </c:majorGridlines>
        <c:minorGridlines/>
        <c:numFmt formatCode="General" sourceLinked="1"/>
        <c:majorTickMark val="out"/>
        <c:minorTickMark val="in"/>
        <c:tickLblPos val="nextTo"/>
        <c:spPr>
          <a:ln w="3175">
            <a:solidFill>
              <a:srgbClr val="000000"/>
            </a:solidFill>
            <a:prstDash val="solid"/>
          </a:ln>
        </c:spPr>
        <c:txPr>
          <a:bodyPr rot="0" vert="horz"/>
          <a:lstStyle/>
          <a:p>
            <a:pPr>
              <a:defRPr/>
            </a:pPr>
            <a:endParaRPr lang="es-CO"/>
          </a:p>
        </c:txPr>
        <c:crossAx val="260652064"/>
        <c:crossesAt val="0.1"/>
        <c:crossBetween val="midCat"/>
        <c:minorUnit val="10"/>
      </c:valAx>
      <c:spPr>
        <a:solidFill>
          <a:schemeClr val="lt1"/>
        </a:solidFill>
        <a:ln w="25400" cap="flat" cmpd="sng" algn="ctr">
          <a:solidFill>
            <a:schemeClr val="dk1"/>
          </a:solidFill>
          <a:prstDash val="solid"/>
        </a:ln>
        <a:effectLst/>
      </c:spPr>
    </c:plotArea>
    <c:legend>
      <c:legendPos val="b"/>
      <c:layout>
        <c:manualLayout>
          <c:xMode val="edge"/>
          <c:yMode val="edge"/>
          <c:x val="0.05"/>
          <c:y val="0.93630500000000016"/>
          <c:w val="0.66858722222222222"/>
          <c:h val="6.3695000000000002E-2"/>
        </c:manualLayout>
      </c:layout>
      <c:overlay val="0"/>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s-CO"/>
    </a:p>
  </c:txPr>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Fusible VS</a:t>
            </a:r>
            <a:r>
              <a:rPr lang="es-CO" baseline="0"/>
              <a:t>  </a:t>
            </a:r>
            <a:endParaRPr lang="es-CO"/>
          </a:p>
        </c:rich>
      </c:tx>
      <c:overlay val="1"/>
    </c:title>
    <c:autoTitleDeleted val="0"/>
    <c:plotArea>
      <c:layout>
        <c:manualLayout>
          <c:layoutTarget val="inner"/>
          <c:xMode val="edge"/>
          <c:yMode val="edge"/>
          <c:x val="9.0387437782627117E-2"/>
          <c:y val="9.7315595695908433E-2"/>
          <c:w val="0.85509385584834563"/>
          <c:h val="0.73490053301393043"/>
        </c:manualLayout>
      </c:layout>
      <c:scatterChart>
        <c:scatterStyle val="smoothMarker"/>
        <c:varyColors val="0"/>
        <c:ser>
          <c:idx val="0"/>
          <c:order val="0"/>
          <c:tx>
            <c:v>Cap. Termica</c:v>
          </c:tx>
          <c:spPr>
            <a:ln w="28575">
              <a:solidFill>
                <a:srgbClr val="FF0000"/>
              </a:solidFill>
              <a:prstDash val="solid"/>
            </a:ln>
          </c:spPr>
          <c:marker>
            <c:symbol val="none"/>
          </c:marker>
          <c:xVal>
            <c:numRef>
              <c:f>FUSIBLES!$N$5:$N$11</c:f>
              <c:numCache>
                <c:formatCode>0.00</c:formatCode>
                <c:ptCount val="7"/>
                <c:pt idx="0">
                  <c:v>127.04545454545455</c:v>
                </c:pt>
                <c:pt idx="1">
                  <c:v>28.40909090909091</c:v>
                </c:pt>
                <c:pt idx="2">
                  <c:v>12.840909090909093</c:v>
                </c:pt>
                <c:pt idx="3">
                  <c:v>7.1590909090909092</c:v>
                </c:pt>
                <c:pt idx="4">
                  <c:v>5.3977272727272734</c:v>
                </c:pt>
                <c:pt idx="5">
                  <c:v>3.4090909090909092</c:v>
                </c:pt>
                <c:pt idx="6">
                  <c:v>2.2727272727272729</c:v>
                </c:pt>
              </c:numCache>
            </c:numRef>
          </c:xVal>
          <c:yVal>
            <c:numRef>
              <c:f>FUSIBLES!$M$5:$M$11</c:f>
              <c:numCache>
                <c:formatCode>General</c:formatCode>
                <c:ptCount val="7"/>
                <c:pt idx="0">
                  <c:v>0.1</c:v>
                </c:pt>
                <c:pt idx="1">
                  <c:v>2</c:v>
                </c:pt>
                <c:pt idx="2">
                  <c:v>10</c:v>
                </c:pt>
                <c:pt idx="3">
                  <c:v>30</c:v>
                </c:pt>
                <c:pt idx="4">
                  <c:v>60</c:v>
                </c:pt>
                <c:pt idx="5">
                  <c:v>300</c:v>
                </c:pt>
                <c:pt idx="6">
                  <c:v>1800</c:v>
                </c:pt>
              </c:numCache>
            </c:numRef>
          </c:yVal>
          <c:smooth val="1"/>
          <c:extLst>
            <c:ext xmlns:c16="http://schemas.microsoft.com/office/drawing/2014/chart" uri="{C3380CC4-5D6E-409C-BE32-E72D297353CC}">
              <c16:uniqueId val="{00000000-6D77-4468-8EA4-E23DF40FAF44}"/>
            </c:ext>
          </c:extLst>
        </c:ser>
        <c:ser>
          <c:idx val="1"/>
          <c:order val="1"/>
          <c:tx>
            <c:v>Cap. Sobrecarga</c:v>
          </c:tx>
          <c:spPr>
            <a:ln w="28575">
              <a:solidFill>
                <a:srgbClr val="FFFF00"/>
              </a:solidFill>
            </a:ln>
          </c:spPr>
          <c:marker>
            <c:symbol val="none"/>
          </c:marker>
          <c:xVal>
            <c:numRef>
              <c:f>FUSIBLES!$Q$5:$Q$9</c:f>
              <c:numCache>
                <c:formatCode>0.00</c:formatCode>
                <c:ptCount val="5"/>
                <c:pt idx="0">
                  <c:v>2.2159090909090913</c:v>
                </c:pt>
                <c:pt idx="1">
                  <c:v>1.9198564593301439</c:v>
                </c:pt>
                <c:pt idx="2">
                  <c:v>1.6806220095693782</c:v>
                </c:pt>
                <c:pt idx="3">
                  <c:v>1.5101674641148326</c:v>
                </c:pt>
                <c:pt idx="4">
                  <c:v>1.3157894736842106</c:v>
                </c:pt>
              </c:numCache>
            </c:numRef>
          </c:xVal>
          <c:yVal>
            <c:numRef>
              <c:f>FUSIBLES!$P$5:$P$9</c:f>
              <c:numCache>
                <c:formatCode>General</c:formatCode>
                <c:ptCount val="5"/>
                <c:pt idx="0">
                  <c:v>3600</c:v>
                </c:pt>
                <c:pt idx="1">
                  <c:v>7200</c:v>
                </c:pt>
                <c:pt idx="2">
                  <c:v>14400</c:v>
                </c:pt>
                <c:pt idx="3">
                  <c:v>28800</c:v>
                </c:pt>
                <c:pt idx="4">
                  <c:v>86400</c:v>
                </c:pt>
              </c:numCache>
            </c:numRef>
          </c:yVal>
          <c:smooth val="1"/>
          <c:extLst>
            <c:ext xmlns:c16="http://schemas.microsoft.com/office/drawing/2014/chart" uri="{C3380CC4-5D6E-409C-BE32-E72D297353CC}">
              <c16:uniqueId val="{00000001-6D77-4468-8EA4-E23DF40FAF44}"/>
            </c:ext>
          </c:extLst>
        </c:ser>
        <c:ser>
          <c:idx val="2"/>
          <c:order val="2"/>
          <c:tx>
            <c:v>Energización</c:v>
          </c:tx>
          <c:spPr>
            <a:ln w="28575">
              <a:solidFill>
                <a:srgbClr val="00B050"/>
              </a:solidFill>
            </a:ln>
          </c:spPr>
          <c:marker>
            <c:symbol val="none"/>
          </c:marker>
          <c:xVal>
            <c:numRef>
              <c:f>FUSIBLES!$T$5:$T$8</c:f>
              <c:numCache>
                <c:formatCode>0.00</c:formatCode>
                <c:ptCount val="4"/>
                <c:pt idx="0">
                  <c:v>28.40909090909091</c:v>
                </c:pt>
                <c:pt idx="1">
                  <c:v>13.636363636363637</c:v>
                </c:pt>
                <c:pt idx="2">
                  <c:v>6.8181818181818183</c:v>
                </c:pt>
                <c:pt idx="3">
                  <c:v>3.4090909090909092</c:v>
                </c:pt>
              </c:numCache>
            </c:numRef>
          </c:xVal>
          <c:yVal>
            <c:numRef>
              <c:f>FUSIBLES!$S$5:$S$8</c:f>
              <c:numCache>
                <c:formatCode>General</c:formatCode>
                <c:ptCount val="4"/>
                <c:pt idx="0">
                  <c:v>0.01</c:v>
                </c:pt>
                <c:pt idx="1">
                  <c:v>0.1</c:v>
                </c:pt>
                <c:pt idx="2">
                  <c:v>1</c:v>
                </c:pt>
                <c:pt idx="3">
                  <c:v>10</c:v>
                </c:pt>
              </c:numCache>
            </c:numRef>
          </c:yVal>
          <c:smooth val="1"/>
          <c:extLst>
            <c:ext xmlns:c16="http://schemas.microsoft.com/office/drawing/2014/chart" uri="{C3380CC4-5D6E-409C-BE32-E72D297353CC}">
              <c16:uniqueId val="{00000002-6D77-4468-8EA4-E23DF40FAF44}"/>
            </c:ext>
          </c:extLst>
        </c:ser>
        <c:ser>
          <c:idx val="3"/>
          <c:order val="3"/>
          <c:tx>
            <c:v>Curva de Fusion</c:v>
          </c:tx>
          <c:spPr>
            <a:ln>
              <a:solidFill>
                <a:srgbClr val="F686E1"/>
              </a:solidFill>
            </a:ln>
          </c:spPr>
          <c:marker>
            <c:symbol val="none"/>
          </c:marker>
          <c:xVal>
            <c:numRef>
              <c:f>FUSIBLES!$Q$13:$Q$29</c:f>
              <c:numCache>
                <c:formatCode>General</c:formatCode>
                <c:ptCount val="17"/>
                <c:pt idx="0">
                  <c:v>4</c:v>
                </c:pt>
                <c:pt idx="1">
                  <c:v>4.2</c:v>
                </c:pt>
                <c:pt idx="2">
                  <c:v>4.5999999999999996</c:v>
                </c:pt>
                <c:pt idx="3">
                  <c:v>5.5</c:v>
                </c:pt>
                <c:pt idx="4">
                  <c:v>6.9</c:v>
                </c:pt>
                <c:pt idx="5">
                  <c:v>10.5</c:v>
                </c:pt>
                <c:pt idx="6">
                  <c:v>14</c:v>
                </c:pt>
                <c:pt idx="7">
                  <c:v>0</c:v>
                </c:pt>
                <c:pt idx="8">
                  <c:v>22.5</c:v>
                </c:pt>
                <c:pt idx="9">
                  <c:v>30.5</c:v>
                </c:pt>
                <c:pt idx="10">
                  <c:v>70</c:v>
                </c:pt>
                <c:pt idx="11">
                  <c:v>77</c:v>
                </c:pt>
                <c:pt idx="12">
                  <c:v>89</c:v>
                </c:pt>
                <c:pt idx="13">
                  <c:v>109</c:v>
                </c:pt>
                <c:pt idx="14">
                  <c:v>128</c:v>
                </c:pt>
                <c:pt idx="15">
                  <c:v>154</c:v>
                </c:pt>
                <c:pt idx="16">
                  <c:v>185</c:v>
                </c:pt>
              </c:numCache>
            </c:numRef>
          </c:xVal>
          <c:yVal>
            <c:numRef>
              <c:f>FUSIBLES!$P$13:$P$29</c:f>
              <c:numCache>
                <c:formatCode>General</c:formatCode>
                <c:ptCount val="17"/>
                <c:pt idx="0">
                  <c:v>300</c:v>
                </c:pt>
                <c:pt idx="1">
                  <c:v>180</c:v>
                </c:pt>
                <c:pt idx="2">
                  <c:v>120</c:v>
                </c:pt>
                <c:pt idx="3">
                  <c:v>60</c:v>
                </c:pt>
                <c:pt idx="4">
                  <c:v>30</c:v>
                </c:pt>
                <c:pt idx="5">
                  <c:v>10</c:v>
                </c:pt>
                <c:pt idx="6">
                  <c:v>4</c:v>
                </c:pt>
                <c:pt idx="7">
                  <c:v>2</c:v>
                </c:pt>
                <c:pt idx="8">
                  <c:v>1</c:v>
                </c:pt>
                <c:pt idx="9">
                  <c:v>0.5</c:v>
                </c:pt>
                <c:pt idx="10">
                  <c:v>0.1</c:v>
                </c:pt>
                <c:pt idx="11">
                  <c:v>0.09</c:v>
                </c:pt>
                <c:pt idx="12">
                  <c:v>0.08</c:v>
                </c:pt>
                <c:pt idx="13">
                  <c:v>7.0000000000000007E-2</c:v>
                </c:pt>
                <c:pt idx="14">
                  <c:v>0.06</c:v>
                </c:pt>
                <c:pt idx="15">
                  <c:v>0.05</c:v>
                </c:pt>
                <c:pt idx="16">
                  <c:v>0.04</c:v>
                </c:pt>
              </c:numCache>
            </c:numRef>
          </c:yVal>
          <c:smooth val="1"/>
          <c:extLst>
            <c:ext xmlns:c16="http://schemas.microsoft.com/office/drawing/2014/chart" uri="{C3380CC4-5D6E-409C-BE32-E72D297353CC}">
              <c16:uniqueId val="{00000003-6D77-4468-8EA4-E23DF40FAF44}"/>
            </c:ext>
          </c:extLst>
        </c:ser>
        <c:ser>
          <c:idx val="4"/>
          <c:order val="4"/>
          <c:tx>
            <c:v>In</c:v>
          </c:tx>
          <c:spPr>
            <a:ln w="28575"/>
          </c:spPr>
          <c:marker>
            <c:symbol val="none"/>
          </c:marker>
          <c:xVal>
            <c:numRef>
              <c:f>FUSIBLES!$I$4:$I$9</c:f>
              <c:numCache>
                <c:formatCode>0.00</c:formatCode>
                <c:ptCount val="6"/>
                <c:pt idx="0">
                  <c:v>1.1363636363636365</c:v>
                </c:pt>
                <c:pt idx="1">
                  <c:v>1.1363636363636365</c:v>
                </c:pt>
                <c:pt idx="2">
                  <c:v>1.1363636363636365</c:v>
                </c:pt>
                <c:pt idx="3">
                  <c:v>1.1363636363636365</c:v>
                </c:pt>
                <c:pt idx="4">
                  <c:v>1.1363636363636365</c:v>
                </c:pt>
                <c:pt idx="5">
                  <c:v>1.1363636363636365</c:v>
                </c:pt>
              </c:numCache>
            </c:numRef>
          </c:xVal>
          <c:yVal>
            <c:numRef>
              <c:f>FUSIBLES!$H$4:$H$9</c:f>
              <c:numCache>
                <c:formatCode>General</c:formatCode>
                <c:ptCount val="6"/>
                <c:pt idx="0">
                  <c:v>1E-3</c:v>
                </c:pt>
                <c:pt idx="1">
                  <c:v>0.1</c:v>
                </c:pt>
                <c:pt idx="2">
                  <c:v>1</c:v>
                </c:pt>
                <c:pt idx="3">
                  <c:v>10</c:v>
                </c:pt>
                <c:pt idx="4">
                  <c:v>100</c:v>
                </c:pt>
                <c:pt idx="5">
                  <c:v>1000</c:v>
                </c:pt>
              </c:numCache>
            </c:numRef>
          </c:yVal>
          <c:smooth val="1"/>
          <c:extLst>
            <c:ext xmlns:c16="http://schemas.microsoft.com/office/drawing/2014/chart" uri="{C3380CC4-5D6E-409C-BE32-E72D297353CC}">
              <c16:uniqueId val="{00000004-6D77-4468-8EA4-E23DF40FAF44}"/>
            </c:ext>
          </c:extLst>
        </c:ser>
        <c:ser>
          <c:idx val="5"/>
          <c:order val="5"/>
          <c:tx>
            <c:v>Curva de despeje</c:v>
          </c:tx>
          <c:spPr>
            <a:ln>
              <a:solidFill>
                <a:srgbClr val="F686E1"/>
              </a:solidFill>
            </a:ln>
          </c:spPr>
          <c:marker>
            <c:symbol val="none"/>
          </c:marker>
          <c:xVal>
            <c:numRef>
              <c:f>FUSIBLES!$S$13:$S$29</c:f>
              <c:numCache>
                <c:formatCode>General</c:formatCode>
                <c:ptCount val="17"/>
                <c:pt idx="0">
                  <c:v>5.0999999999999996</c:v>
                </c:pt>
                <c:pt idx="1">
                  <c:v>5.0999999999999996</c:v>
                </c:pt>
                <c:pt idx="2">
                  <c:v>5.6</c:v>
                </c:pt>
                <c:pt idx="3">
                  <c:v>6.7</c:v>
                </c:pt>
                <c:pt idx="4">
                  <c:v>8.6</c:v>
                </c:pt>
                <c:pt idx="5">
                  <c:v>13</c:v>
                </c:pt>
                <c:pt idx="6">
                  <c:v>18</c:v>
                </c:pt>
                <c:pt idx="7">
                  <c:v>0</c:v>
                </c:pt>
                <c:pt idx="8">
                  <c:v>28.5</c:v>
                </c:pt>
                <c:pt idx="9">
                  <c:v>40</c:v>
                </c:pt>
                <c:pt idx="10">
                  <c:v>105</c:v>
                </c:pt>
                <c:pt idx="11">
                  <c:v>122</c:v>
                </c:pt>
                <c:pt idx="12">
                  <c:v>150</c:v>
                </c:pt>
                <c:pt idx="13">
                  <c:v>220</c:v>
                </c:pt>
                <c:pt idx="14">
                  <c:v>300</c:v>
                </c:pt>
                <c:pt idx="15">
                  <c:v>525</c:v>
                </c:pt>
                <c:pt idx="16">
                  <c:v>1500</c:v>
                </c:pt>
              </c:numCache>
            </c:numRef>
          </c:xVal>
          <c:yVal>
            <c:numRef>
              <c:f>FUSIBLES!$R$13:$R$29</c:f>
              <c:numCache>
                <c:formatCode>General</c:formatCode>
                <c:ptCount val="17"/>
                <c:pt idx="0">
                  <c:v>300</c:v>
                </c:pt>
                <c:pt idx="1">
                  <c:v>180</c:v>
                </c:pt>
                <c:pt idx="2">
                  <c:v>120</c:v>
                </c:pt>
                <c:pt idx="3">
                  <c:v>60</c:v>
                </c:pt>
                <c:pt idx="4">
                  <c:v>30</c:v>
                </c:pt>
                <c:pt idx="5">
                  <c:v>10</c:v>
                </c:pt>
                <c:pt idx="6">
                  <c:v>4</c:v>
                </c:pt>
                <c:pt idx="7">
                  <c:v>2</c:v>
                </c:pt>
                <c:pt idx="8">
                  <c:v>1</c:v>
                </c:pt>
                <c:pt idx="9">
                  <c:v>0.5</c:v>
                </c:pt>
                <c:pt idx="10">
                  <c:v>0.1</c:v>
                </c:pt>
                <c:pt idx="11">
                  <c:v>0.09</c:v>
                </c:pt>
                <c:pt idx="12">
                  <c:v>0.08</c:v>
                </c:pt>
                <c:pt idx="13">
                  <c:v>7.0000000000000007E-2</c:v>
                </c:pt>
                <c:pt idx="14">
                  <c:v>0.06</c:v>
                </c:pt>
                <c:pt idx="15">
                  <c:v>0.05</c:v>
                </c:pt>
                <c:pt idx="16">
                  <c:v>0.04</c:v>
                </c:pt>
              </c:numCache>
            </c:numRef>
          </c:yVal>
          <c:smooth val="1"/>
          <c:extLst>
            <c:ext xmlns:c16="http://schemas.microsoft.com/office/drawing/2014/chart" uri="{C3380CC4-5D6E-409C-BE32-E72D297353CC}">
              <c16:uniqueId val="{00000005-6D77-4468-8EA4-E23DF40FAF44}"/>
            </c:ext>
          </c:extLst>
        </c:ser>
        <c:dLbls>
          <c:showLegendKey val="0"/>
          <c:showVal val="0"/>
          <c:showCatName val="0"/>
          <c:showSerName val="0"/>
          <c:showPercent val="0"/>
          <c:showBubbleSize val="0"/>
        </c:dLbls>
        <c:axId val="347773008"/>
        <c:axId val="347773400"/>
      </c:scatterChart>
      <c:valAx>
        <c:axId val="347773008"/>
        <c:scaling>
          <c:logBase val="10"/>
          <c:orientation val="minMax"/>
        </c:scaling>
        <c:delete val="0"/>
        <c:axPos val="b"/>
        <c:majorGridlines>
          <c:spPr>
            <a:ln w="3175">
              <a:solidFill>
                <a:srgbClr val="000000"/>
              </a:solidFill>
              <a:prstDash val="solid"/>
            </a:ln>
          </c:spPr>
        </c:majorGridlines>
        <c:minorGridlines/>
        <c:title>
          <c:overlay val="0"/>
        </c:title>
        <c:numFmt formatCode="0.00" sourceLinked="1"/>
        <c:majorTickMark val="out"/>
        <c:minorTickMark val="out"/>
        <c:tickLblPos val="low"/>
        <c:spPr>
          <a:ln w="3175">
            <a:solidFill>
              <a:srgbClr val="000000"/>
            </a:solidFill>
            <a:prstDash val="solid"/>
          </a:ln>
        </c:spPr>
        <c:txPr>
          <a:bodyPr rot="0" vert="horz"/>
          <a:lstStyle/>
          <a:p>
            <a:pPr>
              <a:defRPr/>
            </a:pPr>
            <a:endParaRPr lang="es-CO"/>
          </a:p>
        </c:txPr>
        <c:crossAx val="347773400"/>
        <c:crosses val="autoZero"/>
        <c:crossBetween val="midCat"/>
      </c:valAx>
      <c:valAx>
        <c:axId val="347773400"/>
        <c:scaling>
          <c:logBase val="10"/>
          <c:orientation val="minMax"/>
        </c:scaling>
        <c:delete val="0"/>
        <c:axPos val="l"/>
        <c:majorGridlines>
          <c:spPr>
            <a:ln w="3175">
              <a:solidFill>
                <a:srgbClr val="000000"/>
              </a:solidFill>
              <a:prstDash val="solid"/>
            </a:ln>
          </c:spPr>
        </c:majorGridlines>
        <c:minorGridlines/>
        <c:numFmt formatCode="General" sourceLinked="1"/>
        <c:majorTickMark val="out"/>
        <c:minorTickMark val="in"/>
        <c:tickLblPos val="nextTo"/>
        <c:spPr>
          <a:ln w="3175">
            <a:solidFill>
              <a:srgbClr val="000000"/>
            </a:solidFill>
            <a:prstDash val="solid"/>
          </a:ln>
        </c:spPr>
        <c:txPr>
          <a:bodyPr rot="0" vert="horz"/>
          <a:lstStyle/>
          <a:p>
            <a:pPr>
              <a:defRPr/>
            </a:pPr>
            <a:endParaRPr lang="es-CO"/>
          </a:p>
        </c:txPr>
        <c:crossAx val="347773008"/>
        <c:crossesAt val="0.1"/>
        <c:crossBetween val="midCat"/>
        <c:minorUnit val="10"/>
      </c:valAx>
      <c:spPr>
        <a:solidFill>
          <a:schemeClr val="lt1"/>
        </a:solidFill>
        <a:ln w="25400" cap="flat" cmpd="sng" algn="ctr">
          <a:solidFill>
            <a:schemeClr val="dk1"/>
          </a:solidFill>
          <a:prstDash val="solid"/>
        </a:ln>
        <a:effectLst/>
      </c:spPr>
    </c:plotArea>
    <c:legend>
      <c:legendPos val="b"/>
      <c:layout>
        <c:manualLayout>
          <c:xMode val="edge"/>
          <c:yMode val="edge"/>
          <c:x val="0.05"/>
          <c:y val="0.93630500000000016"/>
          <c:w val="0.66858722222222222"/>
          <c:h val="6.3695000000000002E-2"/>
        </c:manualLayout>
      </c:layout>
      <c:overlay val="0"/>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s-CO"/>
    </a:p>
  </c:txPr>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s-CO"/>
              <a:t>Fusible </a:t>
            </a:r>
            <a:r>
              <a:rPr lang="es-CO" sz="1800" b="1" i="0" u="none" strike="noStrike" baseline="0">
                <a:effectLst/>
              </a:rPr>
              <a:t>Tipo </a:t>
            </a:r>
            <a:r>
              <a:rPr lang="es-CO"/>
              <a:t>T</a:t>
            </a:r>
            <a:r>
              <a:rPr lang="es-CO" baseline="0"/>
              <a:t>  </a:t>
            </a:r>
            <a:endParaRPr lang="es-CO"/>
          </a:p>
        </c:rich>
      </c:tx>
      <c:overlay val="1"/>
    </c:title>
    <c:autoTitleDeleted val="0"/>
    <c:plotArea>
      <c:layout>
        <c:manualLayout>
          <c:layoutTarget val="inner"/>
          <c:xMode val="edge"/>
          <c:yMode val="edge"/>
          <c:x val="9.0387437782627117E-2"/>
          <c:y val="9.7315595695908433E-2"/>
          <c:w val="0.85509385584834563"/>
          <c:h val="0.73490053301393043"/>
        </c:manualLayout>
      </c:layout>
      <c:scatterChart>
        <c:scatterStyle val="smoothMarker"/>
        <c:varyColors val="0"/>
        <c:ser>
          <c:idx val="0"/>
          <c:order val="0"/>
          <c:tx>
            <c:v>Cap. Termica</c:v>
          </c:tx>
          <c:spPr>
            <a:ln w="28575">
              <a:solidFill>
                <a:srgbClr val="FF0000"/>
              </a:solidFill>
              <a:prstDash val="solid"/>
            </a:ln>
          </c:spPr>
          <c:marker>
            <c:symbol val="none"/>
          </c:marker>
          <c:xVal>
            <c:numRef>
              <c:f>FUSIBLES!$N$5:$N$11</c:f>
              <c:numCache>
                <c:formatCode>0.00</c:formatCode>
                <c:ptCount val="7"/>
                <c:pt idx="0">
                  <c:v>127.04545454545455</c:v>
                </c:pt>
                <c:pt idx="1">
                  <c:v>28.40909090909091</c:v>
                </c:pt>
                <c:pt idx="2">
                  <c:v>12.840909090909093</c:v>
                </c:pt>
                <c:pt idx="3">
                  <c:v>7.1590909090909092</c:v>
                </c:pt>
                <c:pt idx="4">
                  <c:v>5.3977272727272734</c:v>
                </c:pt>
                <c:pt idx="5">
                  <c:v>3.4090909090909092</c:v>
                </c:pt>
                <c:pt idx="6">
                  <c:v>2.2727272727272729</c:v>
                </c:pt>
              </c:numCache>
            </c:numRef>
          </c:xVal>
          <c:yVal>
            <c:numRef>
              <c:f>FUSIBLES!$M$5:$M$11</c:f>
              <c:numCache>
                <c:formatCode>General</c:formatCode>
                <c:ptCount val="7"/>
                <c:pt idx="0">
                  <c:v>0.1</c:v>
                </c:pt>
                <c:pt idx="1">
                  <c:v>2</c:v>
                </c:pt>
                <c:pt idx="2">
                  <c:v>10</c:v>
                </c:pt>
                <c:pt idx="3">
                  <c:v>30</c:v>
                </c:pt>
                <c:pt idx="4">
                  <c:v>60</c:v>
                </c:pt>
                <c:pt idx="5">
                  <c:v>300</c:v>
                </c:pt>
                <c:pt idx="6">
                  <c:v>1800</c:v>
                </c:pt>
              </c:numCache>
            </c:numRef>
          </c:yVal>
          <c:smooth val="1"/>
          <c:extLst>
            <c:ext xmlns:c16="http://schemas.microsoft.com/office/drawing/2014/chart" uri="{C3380CC4-5D6E-409C-BE32-E72D297353CC}">
              <c16:uniqueId val="{00000000-6D77-4468-8EA4-E23DF40FAF44}"/>
            </c:ext>
          </c:extLst>
        </c:ser>
        <c:ser>
          <c:idx val="1"/>
          <c:order val="1"/>
          <c:tx>
            <c:v>Cap. Sobrecarga</c:v>
          </c:tx>
          <c:spPr>
            <a:ln w="28575">
              <a:solidFill>
                <a:srgbClr val="FFFF00"/>
              </a:solidFill>
            </a:ln>
          </c:spPr>
          <c:marker>
            <c:symbol val="none"/>
          </c:marker>
          <c:xVal>
            <c:numRef>
              <c:f>FUSIBLES!$Q$5:$Q$9</c:f>
              <c:numCache>
                <c:formatCode>0.00</c:formatCode>
                <c:ptCount val="5"/>
                <c:pt idx="0">
                  <c:v>2.2159090909090913</c:v>
                </c:pt>
                <c:pt idx="1">
                  <c:v>1.9198564593301439</c:v>
                </c:pt>
                <c:pt idx="2">
                  <c:v>1.6806220095693782</c:v>
                </c:pt>
                <c:pt idx="3">
                  <c:v>1.5101674641148326</c:v>
                </c:pt>
                <c:pt idx="4">
                  <c:v>1.3157894736842106</c:v>
                </c:pt>
              </c:numCache>
            </c:numRef>
          </c:xVal>
          <c:yVal>
            <c:numRef>
              <c:f>FUSIBLES!$P$5:$P$9</c:f>
              <c:numCache>
                <c:formatCode>General</c:formatCode>
                <c:ptCount val="5"/>
                <c:pt idx="0">
                  <c:v>3600</c:v>
                </c:pt>
                <c:pt idx="1">
                  <c:v>7200</c:v>
                </c:pt>
                <c:pt idx="2">
                  <c:v>14400</c:v>
                </c:pt>
                <c:pt idx="3">
                  <c:v>28800</c:v>
                </c:pt>
                <c:pt idx="4">
                  <c:v>86400</c:v>
                </c:pt>
              </c:numCache>
            </c:numRef>
          </c:yVal>
          <c:smooth val="1"/>
          <c:extLst>
            <c:ext xmlns:c16="http://schemas.microsoft.com/office/drawing/2014/chart" uri="{C3380CC4-5D6E-409C-BE32-E72D297353CC}">
              <c16:uniqueId val="{00000001-6D77-4468-8EA4-E23DF40FAF44}"/>
            </c:ext>
          </c:extLst>
        </c:ser>
        <c:ser>
          <c:idx val="2"/>
          <c:order val="2"/>
          <c:tx>
            <c:v>Energización</c:v>
          </c:tx>
          <c:spPr>
            <a:ln w="28575">
              <a:solidFill>
                <a:srgbClr val="00B050"/>
              </a:solidFill>
            </a:ln>
          </c:spPr>
          <c:marker>
            <c:symbol val="none"/>
          </c:marker>
          <c:xVal>
            <c:numRef>
              <c:f>FUSIBLES!$T$5:$T$8</c:f>
              <c:numCache>
                <c:formatCode>0.00</c:formatCode>
                <c:ptCount val="4"/>
                <c:pt idx="0">
                  <c:v>28.40909090909091</c:v>
                </c:pt>
                <c:pt idx="1">
                  <c:v>13.636363636363637</c:v>
                </c:pt>
                <c:pt idx="2">
                  <c:v>6.8181818181818183</c:v>
                </c:pt>
                <c:pt idx="3">
                  <c:v>3.4090909090909092</c:v>
                </c:pt>
              </c:numCache>
            </c:numRef>
          </c:xVal>
          <c:yVal>
            <c:numRef>
              <c:f>FUSIBLES!$S$5:$S$8</c:f>
              <c:numCache>
                <c:formatCode>General</c:formatCode>
                <c:ptCount val="4"/>
                <c:pt idx="0">
                  <c:v>0.01</c:v>
                </c:pt>
                <c:pt idx="1">
                  <c:v>0.1</c:v>
                </c:pt>
                <c:pt idx="2">
                  <c:v>1</c:v>
                </c:pt>
                <c:pt idx="3">
                  <c:v>10</c:v>
                </c:pt>
              </c:numCache>
            </c:numRef>
          </c:yVal>
          <c:smooth val="1"/>
          <c:extLst>
            <c:ext xmlns:c16="http://schemas.microsoft.com/office/drawing/2014/chart" uri="{C3380CC4-5D6E-409C-BE32-E72D297353CC}">
              <c16:uniqueId val="{00000002-6D77-4468-8EA4-E23DF40FAF44}"/>
            </c:ext>
          </c:extLst>
        </c:ser>
        <c:ser>
          <c:idx val="3"/>
          <c:order val="3"/>
          <c:tx>
            <c:v>Curva de Fusion Min.</c:v>
          </c:tx>
          <c:marker>
            <c:symbol val="none"/>
          </c:marker>
          <c:dLbls>
            <c:dLbl>
              <c:idx val="4"/>
              <c:layout>
                <c:manualLayout>
                  <c:x val="-8.6582807795064221E-2"/>
                  <c:y val="0"/>
                </c:manualLayout>
              </c:layout>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s-CO"/>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0-15CF-4CB8-9379-CEE8034E253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FUSIBLES!$W$13:$W$29</c:f>
              <c:numCache>
                <c:formatCode>General</c:formatCode>
                <c:ptCount val="17"/>
                <c:pt idx="0">
                  <c:v>2</c:v>
                </c:pt>
                <c:pt idx="1">
                  <c:v>2.0499999999999998</c:v>
                </c:pt>
                <c:pt idx="2">
                  <c:v>2.1</c:v>
                </c:pt>
                <c:pt idx="3">
                  <c:v>2.2000000000000002</c:v>
                </c:pt>
                <c:pt idx="4">
                  <c:v>2.2999999999999998</c:v>
                </c:pt>
                <c:pt idx="5">
                  <c:v>2.4</c:v>
                </c:pt>
                <c:pt idx="6">
                  <c:v>2.8</c:v>
                </c:pt>
                <c:pt idx="7">
                  <c:v>3.1</c:v>
                </c:pt>
                <c:pt idx="8">
                  <c:v>4.0999999999999996</c:v>
                </c:pt>
                <c:pt idx="9">
                  <c:v>5.85</c:v>
                </c:pt>
                <c:pt idx="10">
                  <c:v>15</c:v>
                </c:pt>
                <c:pt idx="11">
                  <c:v>15.7</c:v>
                </c:pt>
                <c:pt idx="12">
                  <c:v>17</c:v>
                </c:pt>
                <c:pt idx="13">
                  <c:v>18.2</c:v>
                </c:pt>
                <c:pt idx="14">
                  <c:v>20</c:v>
                </c:pt>
                <c:pt idx="15">
                  <c:v>22</c:v>
                </c:pt>
                <c:pt idx="16">
                  <c:v>25</c:v>
                </c:pt>
              </c:numCache>
            </c:numRef>
          </c:xVal>
          <c:yVal>
            <c:numRef>
              <c:f>FUSIBLES!$V$13:$V$29</c:f>
              <c:numCache>
                <c:formatCode>General</c:formatCode>
                <c:ptCount val="17"/>
                <c:pt idx="0">
                  <c:v>300</c:v>
                </c:pt>
                <c:pt idx="1">
                  <c:v>180</c:v>
                </c:pt>
                <c:pt idx="2">
                  <c:v>120</c:v>
                </c:pt>
                <c:pt idx="3">
                  <c:v>60</c:v>
                </c:pt>
                <c:pt idx="4">
                  <c:v>30</c:v>
                </c:pt>
                <c:pt idx="5">
                  <c:v>10</c:v>
                </c:pt>
                <c:pt idx="6">
                  <c:v>4</c:v>
                </c:pt>
                <c:pt idx="7">
                  <c:v>2</c:v>
                </c:pt>
                <c:pt idx="8">
                  <c:v>1</c:v>
                </c:pt>
                <c:pt idx="9">
                  <c:v>0.5</c:v>
                </c:pt>
                <c:pt idx="10">
                  <c:v>0.1</c:v>
                </c:pt>
                <c:pt idx="11">
                  <c:v>0.09</c:v>
                </c:pt>
                <c:pt idx="12">
                  <c:v>0.08</c:v>
                </c:pt>
                <c:pt idx="13">
                  <c:v>7.0000000000000007E-2</c:v>
                </c:pt>
                <c:pt idx="14">
                  <c:v>0.06</c:v>
                </c:pt>
                <c:pt idx="15">
                  <c:v>0.05</c:v>
                </c:pt>
                <c:pt idx="16">
                  <c:v>0.04</c:v>
                </c:pt>
              </c:numCache>
            </c:numRef>
          </c:yVal>
          <c:smooth val="1"/>
          <c:extLst>
            <c:ext xmlns:c16="http://schemas.microsoft.com/office/drawing/2014/chart" uri="{C3380CC4-5D6E-409C-BE32-E72D297353CC}">
              <c16:uniqueId val="{00000003-6D77-4468-8EA4-E23DF40FAF44}"/>
            </c:ext>
          </c:extLst>
        </c:ser>
        <c:ser>
          <c:idx val="4"/>
          <c:order val="4"/>
          <c:tx>
            <c:v>In</c:v>
          </c:tx>
          <c:spPr>
            <a:ln w="28575"/>
          </c:spPr>
          <c:marker>
            <c:symbol val="none"/>
          </c:marker>
          <c:xVal>
            <c:numRef>
              <c:f>FUSIBLES!$I$4:$I$9</c:f>
              <c:numCache>
                <c:formatCode>0.00</c:formatCode>
                <c:ptCount val="6"/>
                <c:pt idx="0">
                  <c:v>1.1363636363636365</c:v>
                </c:pt>
                <c:pt idx="1">
                  <c:v>1.1363636363636365</c:v>
                </c:pt>
                <c:pt idx="2">
                  <c:v>1.1363636363636365</c:v>
                </c:pt>
                <c:pt idx="3">
                  <c:v>1.1363636363636365</c:v>
                </c:pt>
                <c:pt idx="4">
                  <c:v>1.1363636363636365</c:v>
                </c:pt>
                <c:pt idx="5">
                  <c:v>1.1363636363636365</c:v>
                </c:pt>
              </c:numCache>
            </c:numRef>
          </c:xVal>
          <c:yVal>
            <c:numRef>
              <c:f>FUSIBLES!$H$4:$H$9</c:f>
              <c:numCache>
                <c:formatCode>General</c:formatCode>
                <c:ptCount val="6"/>
                <c:pt idx="0">
                  <c:v>1E-3</c:v>
                </c:pt>
                <c:pt idx="1">
                  <c:v>0.1</c:v>
                </c:pt>
                <c:pt idx="2">
                  <c:v>1</c:v>
                </c:pt>
                <c:pt idx="3">
                  <c:v>10</c:v>
                </c:pt>
                <c:pt idx="4">
                  <c:v>100</c:v>
                </c:pt>
                <c:pt idx="5">
                  <c:v>1000</c:v>
                </c:pt>
              </c:numCache>
            </c:numRef>
          </c:yVal>
          <c:smooth val="1"/>
          <c:extLst>
            <c:ext xmlns:c16="http://schemas.microsoft.com/office/drawing/2014/chart" uri="{C3380CC4-5D6E-409C-BE32-E72D297353CC}">
              <c16:uniqueId val="{00000004-6D77-4468-8EA4-E23DF40FAF44}"/>
            </c:ext>
          </c:extLst>
        </c:ser>
        <c:ser>
          <c:idx val="5"/>
          <c:order val="5"/>
          <c:tx>
            <c:v>Curva de despeje Max</c:v>
          </c:tx>
          <c:marker>
            <c:symbol val="none"/>
          </c:marker>
          <c:dLbls>
            <c:dLbl>
              <c:idx val="4"/>
              <c:layout>
                <c:manualLayout>
                  <c:x val="4.4025156505963755E-3"/>
                  <c:y val="-2.6319594483757335E-2"/>
                </c:manualLayout>
              </c:layout>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s-CO"/>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1-15CF-4CB8-9379-CEE8034E2535}"/>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FUSIBLES!$Y$13:$Y$29</c:f>
              <c:numCache>
                <c:formatCode>General</c:formatCode>
                <c:ptCount val="17"/>
                <c:pt idx="0">
                  <c:v>2.4</c:v>
                </c:pt>
                <c:pt idx="1">
                  <c:v>2.42</c:v>
                </c:pt>
                <c:pt idx="2">
                  <c:v>2.4500000000000002</c:v>
                </c:pt>
                <c:pt idx="3">
                  <c:v>2.6</c:v>
                </c:pt>
                <c:pt idx="4">
                  <c:v>2.75</c:v>
                </c:pt>
                <c:pt idx="5">
                  <c:v>2.9</c:v>
                </c:pt>
                <c:pt idx="6">
                  <c:v>3.6</c:v>
                </c:pt>
                <c:pt idx="7">
                  <c:v>4</c:v>
                </c:pt>
                <c:pt idx="8">
                  <c:v>5.4</c:v>
                </c:pt>
                <c:pt idx="9">
                  <c:v>7.2</c:v>
                </c:pt>
                <c:pt idx="10">
                  <c:v>20</c:v>
                </c:pt>
                <c:pt idx="11">
                  <c:v>21.5</c:v>
                </c:pt>
                <c:pt idx="12">
                  <c:v>23.5</c:v>
                </c:pt>
                <c:pt idx="13">
                  <c:v>26</c:v>
                </c:pt>
                <c:pt idx="14">
                  <c:v>29</c:v>
                </c:pt>
                <c:pt idx="15">
                  <c:v>33.5</c:v>
                </c:pt>
                <c:pt idx="16">
                  <c:v>40</c:v>
                </c:pt>
              </c:numCache>
            </c:numRef>
          </c:xVal>
          <c:yVal>
            <c:numRef>
              <c:f>FUSIBLES!$X$13:$X$29</c:f>
              <c:numCache>
                <c:formatCode>General</c:formatCode>
                <c:ptCount val="17"/>
                <c:pt idx="0">
                  <c:v>300</c:v>
                </c:pt>
                <c:pt idx="1">
                  <c:v>180</c:v>
                </c:pt>
                <c:pt idx="2">
                  <c:v>120</c:v>
                </c:pt>
                <c:pt idx="3">
                  <c:v>60</c:v>
                </c:pt>
                <c:pt idx="4">
                  <c:v>30</c:v>
                </c:pt>
                <c:pt idx="5">
                  <c:v>10</c:v>
                </c:pt>
                <c:pt idx="6">
                  <c:v>4</c:v>
                </c:pt>
                <c:pt idx="7">
                  <c:v>2</c:v>
                </c:pt>
                <c:pt idx="8">
                  <c:v>1</c:v>
                </c:pt>
                <c:pt idx="9">
                  <c:v>0.5</c:v>
                </c:pt>
                <c:pt idx="10">
                  <c:v>0.1</c:v>
                </c:pt>
                <c:pt idx="11">
                  <c:v>0.09</c:v>
                </c:pt>
                <c:pt idx="12">
                  <c:v>0.08</c:v>
                </c:pt>
                <c:pt idx="13">
                  <c:v>7.0000000000000007E-2</c:v>
                </c:pt>
                <c:pt idx="14">
                  <c:v>0.06</c:v>
                </c:pt>
                <c:pt idx="15">
                  <c:v>0.05</c:v>
                </c:pt>
                <c:pt idx="16">
                  <c:v>0.04</c:v>
                </c:pt>
              </c:numCache>
            </c:numRef>
          </c:yVal>
          <c:smooth val="1"/>
          <c:extLst>
            <c:ext xmlns:c16="http://schemas.microsoft.com/office/drawing/2014/chart" uri="{C3380CC4-5D6E-409C-BE32-E72D297353CC}">
              <c16:uniqueId val="{00000005-6D77-4468-8EA4-E23DF40FAF44}"/>
            </c:ext>
          </c:extLst>
        </c:ser>
        <c:dLbls>
          <c:showLegendKey val="0"/>
          <c:showVal val="0"/>
          <c:showCatName val="0"/>
          <c:showSerName val="0"/>
          <c:showPercent val="0"/>
          <c:showBubbleSize val="0"/>
        </c:dLbls>
        <c:axId val="347774184"/>
        <c:axId val="347774576"/>
      </c:scatterChart>
      <c:valAx>
        <c:axId val="347774184"/>
        <c:scaling>
          <c:logBase val="10"/>
          <c:orientation val="minMax"/>
        </c:scaling>
        <c:delete val="0"/>
        <c:axPos val="b"/>
        <c:majorGridlines>
          <c:spPr>
            <a:ln w="3175">
              <a:solidFill>
                <a:srgbClr val="000000"/>
              </a:solidFill>
              <a:prstDash val="solid"/>
            </a:ln>
          </c:spPr>
        </c:majorGridlines>
        <c:minorGridlines/>
        <c:title>
          <c:tx>
            <c:rich>
              <a:bodyPr/>
              <a:lstStyle/>
              <a:p>
                <a:pPr>
                  <a:defRPr/>
                </a:pPr>
                <a:r>
                  <a:rPr lang="es-CO"/>
                  <a:t>Corriente (A)</a:t>
                </a:r>
              </a:p>
            </c:rich>
          </c:tx>
          <c:overlay val="0"/>
        </c:title>
        <c:numFmt formatCode="0.00" sourceLinked="1"/>
        <c:majorTickMark val="out"/>
        <c:minorTickMark val="out"/>
        <c:tickLblPos val="low"/>
        <c:spPr>
          <a:ln w="3175">
            <a:solidFill>
              <a:srgbClr val="000000"/>
            </a:solidFill>
            <a:prstDash val="solid"/>
          </a:ln>
        </c:spPr>
        <c:txPr>
          <a:bodyPr rot="0" vert="horz"/>
          <a:lstStyle/>
          <a:p>
            <a:pPr>
              <a:defRPr/>
            </a:pPr>
            <a:endParaRPr lang="es-CO"/>
          </a:p>
        </c:txPr>
        <c:crossAx val="347774576"/>
        <c:crosses val="autoZero"/>
        <c:crossBetween val="midCat"/>
      </c:valAx>
      <c:valAx>
        <c:axId val="347774576"/>
        <c:scaling>
          <c:logBase val="10"/>
          <c:orientation val="minMax"/>
        </c:scaling>
        <c:delete val="0"/>
        <c:axPos val="l"/>
        <c:majorGridlines>
          <c:spPr>
            <a:ln w="3175">
              <a:solidFill>
                <a:srgbClr val="000000"/>
              </a:solidFill>
              <a:prstDash val="solid"/>
            </a:ln>
          </c:spPr>
        </c:majorGridlines>
        <c:minorGridlines/>
        <c:numFmt formatCode="General" sourceLinked="1"/>
        <c:majorTickMark val="out"/>
        <c:minorTickMark val="in"/>
        <c:tickLblPos val="nextTo"/>
        <c:spPr>
          <a:ln w="3175">
            <a:solidFill>
              <a:srgbClr val="000000"/>
            </a:solidFill>
            <a:prstDash val="solid"/>
          </a:ln>
        </c:spPr>
        <c:txPr>
          <a:bodyPr rot="0" vert="horz"/>
          <a:lstStyle/>
          <a:p>
            <a:pPr>
              <a:defRPr/>
            </a:pPr>
            <a:endParaRPr lang="es-CO"/>
          </a:p>
        </c:txPr>
        <c:crossAx val="347774184"/>
        <c:crossesAt val="0.1"/>
        <c:crossBetween val="midCat"/>
        <c:minorUnit val="10"/>
      </c:valAx>
      <c:spPr>
        <a:solidFill>
          <a:schemeClr val="lt1"/>
        </a:solidFill>
        <a:ln w="25400" cap="flat" cmpd="sng" algn="ctr">
          <a:solidFill>
            <a:schemeClr val="dk1"/>
          </a:solidFill>
          <a:prstDash val="solid"/>
        </a:ln>
        <a:effectLst/>
      </c:spPr>
    </c:plotArea>
    <c:legend>
      <c:legendPos val="b"/>
      <c:layout>
        <c:manualLayout>
          <c:xMode val="edge"/>
          <c:yMode val="edge"/>
          <c:x val="0.05"/>
          <c:y val="0.93630500000000016"/>
          <c:w val="0.66858722222222222"/>
          <c:h val="6.3695000000000002E-2"/>
        </c:manualLayout>
      </c:layout>
      <c:overlay val="0"/>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s-CO"/>
              <a:t>Fusible </a:t>
            </a:r>
            <a:r>
              <a:rPr lang="es-CO" sz="1800" b="1" i="0" u="none" strike="noStrike" baseline="0">
                <a:effectLst/>
              </a:rPr>
              <a:t>Tipo </a:t>
            </a:r>
            <a:r>
              <a:rPr lang="es-CO"/>
              <a:t>K</a:t>
            </a:r>
          </a:p>
        </c:rich>
      </c:tx>
      <c:overlay val="1"/>
    </c:title>
    <c:autoTitleDeleted val="0"/>
    <c:plotArea>
      <c:layout>
        <c:manualLayout>
          <c:layoutTarget val="inner"/>
          <c:xMode val="edge"/>
          <c:yMode val="edge"/>
          <c:x val="9.0387437782627117E-2"/>
          <c:y val="9.7315595695908433E-2"/>
          <c:w val="0.85509385584834563"/>
          <c:h val="0.73490053301393043"/>
        </c:manualLayout>
      </c:layout>
      <c:scatterChart>
        <c:scatterStyle val="smoothMarker"/>
        <c:varyColors val="0"/>
        <c:ser>
          <c:idx val="0"/>
          <c:order val="0"/>
          <c:tx>
            <c:v>Cap. Termica</c:v>
          </c:tx>
          <c:spPr>
            <a:ln w="28575">
              <a:solidFill>
                <a:srgbClr val="FF0000"/>
              </a:solidFill>
              <a:prstDash val="solid"/>
            </a:ln>
          </c:spPr>
          <c:marker>
            <c:symbol val="none"/>
          </c:marker>
          <c:xVal>
            <c:numRef>
              <c:f>FUSIBLES!$N$5:$N$11</c:f>
              <c:numCache>
                <c:formatCode>0.00</c:formatCode>
                <c:ptCount val="7"/>
                <c:pt idx="0">
                  <c:v>127.04545454545455</c:v>
                </c:pt>
                <c:pt idx="1">
                  <c:v>28.40909090909091</c:v>
                </c:pt>
                <c:pt idx="2">
                  <c:v>12.840909090909093</c:v>
                </c:pt>
                <c:pt idx="3">
                  <c:v>7.1590909090909092</c:v>
                </c:pt>
                <c:pt idx="4">
                  <c:v>5.3977272727272734</c:v>
                </c:pt>
                <c:pt idx="5">
                  <c:v>3.4090909090909092</c:v>
                </c:pt>
                <c:pt idx="6">
                  <c:v>2.2727272727272729</c:v>
                </c:pt>
              </c:numCache>
            </c:numRef>
          </c:xVal>
          <c:yVal>
            <c:numRef>
              <c:f>FUSIBLES!$M$5:$M$11</c:f>
              <c:numCache>
                <c:formatCode>General</c:formatCode>
                <c:ptCount val="7"/>
                <c:pt idx="0">
                  <c:v>0.1</c:v>
                </c:pt>
                <c:pt idx="1">
                  <c:v>2</c:v>
                </c:pt>
                <c:pt idx="2">
                  <c:v>10</c:v>
                </c:pt>
                <c:pt idx="3">
                  <c:v>30</c:v>
                </c:pt>
                <c:pt idx="4">
                  <c:v>60</c:v>
                </c:pt>
                <c:pt idx="5">
                  <c:v>300</c:v>
                </c:pt>
                <c:pt idx="6">
                  <c:v>1800</c:v>
                </c:pt>
              </c:numCache>
            </c:numRef>
          </c:yVal>
          <c:smooth val="1"/>
          <c:extLst>
            <c:ext xmlns:c16="http://schemas.microsoft.com/office/drawing/2014/chart" uri="{C3380CC4-5D6E-409C-BE32-E72D297353CC}">
              <c16:uniqueId val="{00000000-6D77-4468-8EA4-E23DF40FAF44}"/>
            </c:ext>
          </c:extLst>
        </c:ser>
        <c:ser>
          <c:idx val="1"/>
          <c:order val="1"/>
          <c:tx>
            <c:v>Cap. Sobrecarga</c:v>
          </c:tx>
          <c:spPr>
            <a:ln w="28575">
              <a:solidFill>
                <a:srgbClr val="FFFF00"/>
              </a:solidFill>
            </a:ln>
          </c:spPr>
          <c:marker>
            <c:symbol val="none"/>
          </c:marker>
          <c:xVal>
            <c:numRef>
              <c:f>FUSIBLES!$Q$5:$Q$9</c:f>
              <c:numCache>
                <c:formatCode>0.00</c:formatCode>
                <c:ptCount val="5"/>
                <c:pt idx="0">
                  <c:v>2.2159090909090913</c:v>
                </c:pt>
                <c:pt idx="1">
                  <c:v>1.9198564593301439</c:v>
                </c:pt>
                <c:pt idx="2">
                  <c:v>1.6806220095693782</c:v>
                </c:pt>
                <c:pt idx="3">
                  <c:v>1.5101674641148326</c:v>
                </c:pt>
                <c:pt idx="4">
                  <c:v>1.3157894736842106</c:v>
                </c:pt>
              </c:numCache>
            </c:numRef>
          </c:xVal>
          <c:yVal>
            <c:numRef>
              <c:f>FUSIBLES!$P$5:$P$9</c:f>
              <c:numCache>
                <c:formatCode>General</c:formatCode>
                <c:ptCount val="5"/>
                <c:pt idx="0">
                  <c:v>3600</c:v>
                </c:pt>
                <c:pt idx="1">
                  <c:v>7200</c:v>
                </c:pt>
                <c:pt idx="2">
                  <c:v>14400</c:v>
                </c:pt>
                <c:pt idx="3">
                  <c:v>28800</c:v>
                </c:pt>
                <c:pt idx="4">
                  <c:v>86400</c:v>
                </c:pt>
              </c:numCache>
            </c:numRef>
          </c:yVal>
          <c:smooth val="1"/>
          <c:extLst>
            <c:ext xmlns:c16="http://schemas.microsoft.com/office/drawing/2014/chart" uri="{C3380CC4-5D6E-409C-BE32-E72D297353CC}">
              <c16:uniqueId val="{00000001-6D77-4468-8EA4-E23DF40FAF44}"/>
            </c:ext>
          </c:extLst>
        </c:ser>
        <c:ser>
          <c:idx val="2"/>
          <c:order val="2"/>
          <c:tx>
            <c:v>Energización</c:v>
          </c:tx>
          <c:spPr>
            <a:ln w="28575">
              <a:solidFill>
                <a:srgbClr val="00B050"/>
              </a:solidFill>
            </a:ln>
          </c:spPr>
          <c:marker>
            <c:symbol val="none"/>
          </c:marker>
          <c:xVal>
            <c:numRef>
              <c:f>FUSIBLES!$T$5:$T$8</c:f>
              <c:numCache>
                <c:formatCode>0.00</c:formatCode>
                <c:ptCount val="4"/>
                <c:pt idx="0">
                  <c:v>28.40909090909091</c:v>
                </c:pt>
                <c:pt idx="1">
                  <c:v>13.636363636363637</c:v>
                </c:pt>
                <c:pt idx="2">
                  <c:v>6.8181818181818183</c:v>
                </c:pt>
                <c:pt idx="3">
                  <c:v>3.4090909090909092</c:v>
                </c:pt>
              </c:numCache>
            </c:numRef>
          </c:xVal>
          <c:yVal>
            <c:numRef>
              <c:f>FUSIBLES!$S$5:$S$8</c:f>
              <c:numCache>
                <c:formatCode>General</c:formatCode>
                <c:ptCount val="4"/>
                <c:pt idx="0">
                  <c:v>0.01</c:v>
                </c:pt>
                <c:pt idx="1">
                  <c:v>0.1</c:v>
                </c:pt>
                <c:pt idx="2">
                  <c:v>1</c:v>
                </c:pt>
                <c:pt idx="3">
                  <c:v>10</c:v>
                </c:pt>
              </c:numCache>
            </c:numRef>
          </c:yVal>
          <c:smooth val="1"/>
          <c:extLst>
            <c:ext xmlns:c16="http://schemas.microsoft.com/office/drawing/2014/chart" uri="{C3380CC4-5D6E-409C-BE32-E72D297353CC}">
              <c16:uniqueId val="{00000002-6D77-4468-8EA4-E23DF40FAF44}"/>
            </c:ext>
          </c:extLst>
        </c:ser>
        <c:ser>
          <c:idx val="3"/>
          <c:order val="3"/>
          <c:tx>
            <c:v>Curva de Fusion Min.</c:v>
          </c:tx>
          <c:marker>
            <c:symbol val="none"/>
          </c:marker>
          <c:dLbls>
            <c:dLbl>
              <c:idx val="4"/>
              <c:layout>
                <c:manualLayout>
                  <c:x val="-9.8322849529988182E-2"/>
                  <c:y val="-2.0245841910582567E-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B40-42BB-A22D-6BA525B3C47F}"/>
                </c:ext>
              </c:extLst>
            </c:dLbl>
            <c:spPr>
              <a:solidFill>
                <a:sysClr val="window" lastClr="FFFFFF"/>
              </a:solidFill>
              <a:ln>
                <a:solidFill>
                  <a:sysClr val="windowText" lastClr="000000">
                    <a:lumMod val="65000"/>
                    <a:lumOff val="35000"/>
                  </a:sysClr>
                </a:solid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FUSIBLES!$AB$13:$AB$29</c:f>
              <c:numCache>
                <c:formatCode>General</c:formatCode>
                <c:ptCount val="17"/>
                <c:pt idx="0">
                  <c:v>2</c:v>
                </c:pt>
                <c:pt idx="1">
                  <c:v>2.0099999999999998</c:v>
                </c:pt>
                <c:pt idx="2">
                  <c:v>2.0499999999999998</c:v>
                </c:pt>
                <c:pt idx="3">
                  <c:v>2.1</c:v>
                </c:pt>
                <c:pt idx="4">
                  <c:v>2.15</c:v>
                </c:pt>
                <c:pt idx="5">
                  <c:v>2.2000000000000002</c:v>
                </c:pt>
                <c:pt idx="6">
                  <c:v>3</c:v>
                </c:pt>
                <c:pt idx="7">
                  <c:v>3.1</c:v>
                </c:pt>
                <c:pt idx="8">
                  <c:v>5</c:v>
                </c:pt>
                <c:pt idx="9">
                  <c:v>7</c:v>
                </c:pt>
                <c:pt idx="10">
                  <c:v>17.600000000000001</c:v>
                </c:pt>
                <c:pt idx="11">
                  <c:v>18</c:v>
                </c:pt>
                <c:pt idx="12">
                  <c:v>19</c:v>
                </c:pt>
                <c:pt idx="13">
                  <c:v>21</c:v>
                </c:pt>
                <c:pt idx="14">
                  <c:v>22.5</c:v>
                </c:pt>
                <c:pt idx="15">
                  <c:v>28</c:v>
                </c:pt>
                <c:pt idx="16">
                  <c:v>80</c:v>
                </c:pt>
              </c:numCache>
            </c:numRef>
          </c:xVal>
          <c:yVal>
            <c:numRef>
              <c:f>FUSIBLES!$AA$13:$AA$29</c:f>
              <c:numCache>
                <c:formatCode>General</c:formatCode>
                <c:ptCount val="17"/>
                <c:pt idx="0">
                  <c:v>300</c:v>
                </c:pt>
                <c:pt idx="1">
                  <c:v>180</c:v>
                </c:pt>
                <c:pt idx="2">
                  <c:v>120</c:v>
                </c:pt>
                <c:pt idx="3">
                  <c:v>60</c:v>
                </c:pt>
                <c:pt idx="4">
                  <c:v>30</c:v>
                </c:pt>
                <c:pt idx="5">
                  <c:v>10</c:v>
                </c:pt>
                <c:pt idx="6">
                  <c:v>4</c:v>
                </c:pt>
                <c:pt idx="7">
                  <c:v>2</c:v>
                </c:pt>
                <c:pt idx="8">
                  <c:v>1</c:v>
                </c:pt>
                <c:pt idx="9">
                  <c:v>0.5</c:v>
                </c:pt>
                <c:pt idx="10">
                  <c:v>0.1</c:v>
                </c:pt>
                <c:pt idx="11">
                  <c:v>0.09</c:v>
                </c:pt>
                <c:pt idx="12">
                  <c:v>0.08</c:v>
                </c:pt>
                <c:pt idx="13">
                  <c:v>7.0000000000000007E-2</c:v>
                </c:pt>
                <c:pt idx="14">
                  <c:v>0.06</c:v>
                </c:pt>
                <c:pt idx="15">
                  <c:v>0.04</c:v>
                </c:pt>
                <c:pt idx="16">
                  <c:v>1.4E-2</c:v>
                </c:pt>
              </c:numCache>
            </c:numRef>
          </c:yVal>
          <c:smooth val="1"/>
          <c:extLst>
            <c:ext xmlns:c16="http://schemas.microsoft.com/office/drawing/2014/chart" uri="{C3380CC4-5D6E-409C-BE32-E72D297353CC}">
              <c16:uniqueId val="{00000003-6D77-4468-8EA4-E23DF40FAF44}"/>
            </c:ext>
          </c:extLst>
        </c:ser>
        <c:ser>
          <c:idx val="4"/>
          <c:order val="4"/>
          <c:tx>
            <c:v>In</c:v>
          </c:tx>
          <c:spPr>
            <a:ln w="28575"/>
          </c:spPr>
          <c:marker>
            <c:symbol val="none"/>
          </c:marker>
          <c:xVal>
            <c:numRef>
              <c:f>FUSIBLES!$I$4:$I$9</c:f>
              <c:numCache>
                <c:formatCode>0.00</c:formatCode>
                <c:ptCount val="6"/>
                <c:pt idx="0">
                  <c:v>1.1363636363636365</c:v>
                </c:pt>
                <c:pt idx="1">
                  <c:v>1.1363636363636365</c:v>
                </c:pt>
                <c:pt idx="2">
                  <c:v>1.1363636363636365</c:v>
                </c:pt>
                <c:pt idx="3">
                  <c:v>1.1363636363636365</c:v>
                </c:pt>
                <c:pt idx="4">
                  <c:v>1.1363636363636365</c:v>
                </c:pt>
                <c:pt idx="5">
                  <c:v>1.1363636363636365</c:v>
                </c:pt>
              </c:numCache>
            </c:numRef>
          </c:xVal>
          <c:yVal>
            <c:numRef>
              <c:f>FUSIBLES!$H$4:$H$9</c:f>
              <c:numCache>
                <c:formatCode>General</c:formatCode>
                <c:ptCount val="6"/>
                <c:pt idx="0">
                  <c:v>1E-3</c:v>
                </c:pt>
                <c:pt idx="1">
                  <c:v>0.1</c:v>
                </c:pt>
                <c:pt idx="2">
                  <c:v>1</c:v>
                </c:pt>
                <c:pt idx="3">
                  <c:v>10</c:v>
                </c:pt>
                <c:pt idx="4">
                  <c:v>100</c:v>
                </c:pt>
                <c:pt idx="5">
                  <c:v>1000</c:v>
                </c:pt>
              </c:numCache>
            </c:numRef>
          </c:yVal>
          <c:smooth val="1"/>
          <c:extLst>
            <c:ext xmlns:c16="http://schemas.microsoft.com/office/drawing/2014/chart" uri="{C3380CC4-5D6E-409C-BE32-E72D297353CC}">
              <c16:uniqueId val="{00000004-6D77-4468-8EA4-E23DF40FAF44}"/>
            </c:ext>
          </c:extLst>
        </c:ser>
        <c:ser>
          <c:idx val="5"/>
          <c:order val="5"/>
          <c:tx>
            <c:v>Curva de despeje Max.</c:v>
          </c:tx>
          <c:marker>
            <c:symbol val="none"/>
          </c:marker>
          <c:dLbls>
            <c:dLbl>
              <c:idx val="4"/>
              <c:layout>
                <c:manualLayout>
                  <c:x val="2.2012578252982362E-2"/>
                  <c:y val="-6.0737525731747698E-3"/>
                </c:manualLayout>
              </c:layout>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FB40-42BB-A22D-6BA525B3C47F}"/>
                </c:ext>
              </c:extLst>
            </c:dLbl>
            <c:spPr>
              <a:solidFill>
                <a:sysClr val="window" lastClr="FFFFFF"/>
              </a:solidFill>
              <a:ln>
                <a:solidFill>
                  <a:sysClr val="windowText" lastClr="000000">
                    <a:lumMod val="65000"/>
                    <a:lumOff val="35000"/>
                  </a:sysClr>
                </a:solidFill>
              </a:ln>
              <a:effectLst/>
            </c:spPr>
            <c:showLegendKey val="0"/>
            <c:showVal val="0"/>
            <c:showCatName val="0"/>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15:showLeaderLines val="0"/>
              </c:ext>
            </c:extLst>
          </c:dLbls>
          <c:xVal>
            <c:numRef>
              <c:f>FUSIBLES!$AD$13:$AD$29</c:f>
              <c:numCache>
                <c:formatCode>General</c:formatCode>
                <c:ptCount val="17"/>
                <c:pt idx="0">
                  <c:v>2.4</c:v>
                </c:pt>
                <c:pt idx="1">
                  <c:v>2.42</c:v>
                </c:pt>
                <c:pt idx="2">
                  <c:v>2.4500000000000002</c:v>
                </c:pt>
                <c:pt idx="3">
                  <c:v>2.5</c:v>
                </c:pt>
                <c:pt idx="4">
                  <c:v>2.5499999999999998</c:v>
                </c:pt>
                <c:pt idx="5">
                  <c:v>2.7</c:v>
                </c:pt>
                <c:pt idx="6">
                  <c:v>3.55</c:v>
                </c:pt>
                <c:pt idx="7">
                  <c:v>3.6</c:v>
                </c:pt>
                <c:pt idx="8">
                  <c:v>5.8</c:v>
                </c:pt>
                <c:pt idx="9">
                  <c:v>8.4</c:v>
                </c:pt>
                <c:pt idx="10">
                  <c:v>23.5</c:v>
                </c:pt>
                <c:pt idx="11">
                  <c:v>25.5</c:v>
                </c:pt>
                <c:pt idx="12">
                  <c:v>28</c:v>
                </c:pt>
                <c:pt idx="13">
                  <c:v>31.5</c:v>
                </c:pt>
                <c:pt idx="14">
                  <c:v>35.5</c:v>
                </c:pt>
                <c:pt idx="15">
                  <c:v>50</c:v>
                </c:pt>
                <c:pt idx="16">
                  <c:v>120</c:v>
                </c:pt>
              </c:numCache>
            </c:numRef>
          </c:xVal>
          <c:yVal>
            <c:numRef>
              <c:f>FUSIBLES!$AC$13:$AC$29</c:f>
              <c:numCache>
                <c:formatCode>General</c:formatCode>
                <c:ptCount val="17"/>
                <c:pt idx="0">
                  <c:v>300</c:v>
                </c:pt>
                <c:pt idx="1">
                  <c:v>180</c:v>
                </c:pt>
                <c:pt idx="2">
                  <c:v>120</c:v>
                </c:pt>
                <c:pt idx="3">
                  <c:v>60</c:v>
                </c:pt>
                <c:pt idx="4">
                  <c:v>30</c:v>
                </c:pt>
                <c:pt idx="5">
                  <c:v>10</c:v>
                </c:pt>
                <c:pt idx="6">
                  <c:v>4</c:v>
                </c:pt>
                <c:pt idx="7">
                  <c:v>2</c:v>
                </c:pt>
                <c:pt idx="8">
                  <c:v>1</c:v>
                </c:pt>
                <c:pt idx="9">
                  <c:v>0.5</c:v>
                </c:pt>
                <c:pt idx="10">
                  <c:v>0.1</c:v>
                </c:pt>
                <c:pt idx="11">
                  <c:v>0.09</c:v>
                </c:pt>
                <c:pt idx="12">
                  <c:v>0.08</c:v>
                </c:pt>
                <c:pt idx="13">
                  <c:v>7.0000000000000007E-2</c:v>
                </c:pt>
                <c:pt idx="14">
                  <c:v>0.06</c:v>
                </c:pt>
                <c:pt idx="15">
                  <c:v>0.04</c:v>
                </c:pt>
                <c:pt idx="16">
                  <c:v>1.4E-2</c:v>
                </c:pt>
              </c:numCache>
            </c:numRef>
          </c:yVal>
          <c:smooth val="1"/>
          <c:extLst>
            <c:ext xmlns:c16="http://schemas.microsoft.com/office/drawing/2014/chart" uri="{C3380CC4-5D6E-409C-BE32-E72D297353CC}">
              <c16:uniqueId val="{00000005-6D77-4468-8EA4-E23DF40FAF44}"/>
            </c:ext>
          </c:extLst>
        </c:ser>
        <c:dLbls>
          <c:showLegendKey val="0"/>
          <c:showVal val="0"/>
          <c:showCatName val="0"/>
          <c:showSerName val="0"/>
          <c:showPercent val="0"/>
          <c:showBubbleSize val="0"/>
        </c:dLbls>
        <c:axId val="348116064"/>
        <c:axId val="348116456"/>
      </c:scatterChart>
      <c:valAx>
        <c:axId val="348116064"/>
        <c:scaling>
          <c:logBase val="10"/>
          <c:orientation val="minMax"/>
        </c:scaling>
        <c:delete val="0"/>
        <c:axPos val="b"/>
        <c:majorGridlines>
          <c:spPr>
            <a:ln w="3175">
              <a:solidFill>
                <a:srgbClr val="000000"/>
              </a:solidFill>
              <a:prstDash val="solid"/>
            </a:ln>
          </c:spPr>
        </c:majorGridlines>
        <c:minorGridlines/>
        <c:title>
          <c:tx>
            <c:rich>
              <a:bodyPr/>
              <a:lstStyle/>
              <a:p>
                <a:pPr>
                  <a:defRPr/>
                </a:pPr>
                <a:r>
                  <a:rPr lang="es-CO"/>
                  <a:t>Corriente (A)</a:t>
                </a:r>
              </a:p>
            </c:rich>
          </c:tx>
          <c:overlay val="0"/>
        </c:title>
        <c:numFmt formatCode="0.00" sourceLinked="1"/>
        <c:majorTickMark val="out"/>
        <c:minorTickMark val="out"/>
        <c:tickLblPos val="low"/>
        <c:spPr>
          <a:ln w="3175">
            <a:solidFill>
              <a:srgbClr val="000000"/>
            </a:solidFill>
            <a:prstDash val="solid"/>
          </a:ln>
        </c:spPr>
        <c:txPr>
          <a:bodyPr rot="0" vert="horz"/>
          <a:lstStyle/>
          <a:p>
            <a:pPr>
              <a:defRPr/>
            </a:pPr>
            <a:endParaRPr lang="es-CO"/>
          </a:p>
        </c:txPr>
        <c:crossAx val="348116456"/>
        <c:crosses val="autoZero"/>
        <c:crossBetween val="midCat"/>
      </c:valAx>
      <c:valAx>
        <c:axId val="348116456"/>
        <c:scaling>
          <c:logBase val="10"/>
          <c:orientation val="minMax"/>
        </c:scaling>
        <c:delete val="0"/>
        <c:axPos val="l"/>
        <c:majorGridlines>
          <c:spPr>
            <a:ln w="3175">
              <a:solidFill>
                <a:srgbClr val="000000"/>
              </a:solidFill>
              <a:prstDash val="solid"/>
            </a:ln>
          </c:spPr>
        </c:majorGridlines>
        <c:minorGridlines/>
        <c:numFmt formatCode="General" sourceLinked="1"/>
        <c:majorTickMark val="out"/>
        <c:minorTickMark val="in"/>
        <c:tickLblPos val="nextTo"/>
        <c:spPr>
          <a:ln w="3175">
            <a:solidFill>
              <a:srgbClr val="000000"/>
            </a:solidFill>
            <a:prstDash val="solid"/>
          </a:ln>
        </c:spPr>
        <c:txPr>
          <a:bodyPr rot="0" vert="horz"/>
          <a:lstStyle/>
          <a:p>
            <a:pPr>
              <a:defRPr/>
            </a:pPr>
            <a:endParaRPr lang="es-CO"/>
          </a:p>
        </c:txPr>
        <c:crossAx val="348116064"/>
        <c:crossesAt val="0.1"/>
        <c:crossBetween val="midCat"/>
        <c:minorUnit val="10"/>
      </c:valAx>
      <c:spPr>
        <a:solidFill>
          <a:schemeClr val="lt1"/>
        </a:solidFill>
        <a:ln w="25400" cap="flat" cmpd="sng" algn="ctr">
          <a:solidFill>
            <a:schemeClr val="dk1"/>
          </a:solidFill>
          <a:prstDash val="solid"/>
        </a:ln>
        <a:effectLst/>
      </c:spPr>
    </c:plotArea>
    <c:legend>
      <c:legendPos val="b"/>
      <c:layout>
        <c:manualLayout>
          <c:xMode val="edge"/>
          <c:yMode val="edge"/>
          <c:x val="0.05"/>
          <c:y val="0.93630500000000016"/>
          <c:w val="0.66858722222222222"/>
          <c:h val="6.3695000000000002E-2"/>
        </c:manualLayout>
      </c:layout>
      <c:overlay val="0"/>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a:lstStyle/>
          <a:p>
            <a:pPr>
              <a:defRPr/>
            </a:pPr>
            <a:r>
              <a:rPr lang="es-CO"/>
              <a:t>Fusible Tipo H</a:t>
            </a:r>
            <a:r>
              <a:rPr lang="es-CO" baseline="0"/>
              <a:t>  </a:t>
            </a:r>
            <a:endParaRPr lang="es-CO"/>
          </a:p>
        </c:rich>
      </c:tx>
      <c:layout>
        <c:manualLayout>
          <c:xMode val="edge"/>
          <c:yMode val="edge"/>
          <c:x val="0.445639851340566"/>
          <c:y val="6.0737525731747698E-3"/>
        </c:manualLayout>
      </c:layout>
      <c:overlay val="1"/>
    </c:title>
    <c:autoTitleDeleted val="0"/>
    <c:plotArea>
      <c:layout>
        <c:manualLayout>
          <c:layoutTarget val="inner"/>
          <c:xMode val="edge"/>
          <c:yMode val="edge"/>
          <c:x val="9.0387437782627117E-2"/>
          <c:y val="9.7315595695908433E-2"/>
          <c:w val="0.85509385584834563"/>
          <c:h val="0.73490053301393043"/>
        </c:manualLayout>
      </c:layout>
      <c:scatterChart>
        <c:scatterStyle val="smoothMarker"/>
        <c:varyColors val="0"/>
        <c:ser>
          <c:idx val="0"/>
          <c:order val="0"/>
          <c:tx>
            <c:v>Cap. Termica</c:v>
          </c:tx>
          <c:spPr>
            <a:ln w="28575">
              <a:solidFill>
                <a:srgbClr val="FF0000"/>
              </a:solidFill>
              <a:prstDash val="solid"/>
            </a:ln>
          </c:spPr>
          <c:marker>
            <c:symbol val="none"/>
          </c:marker>
          <c:xVal>
            <c:numRef>
              <c:f>FUSIBLES!$N$5:$N$11</c:f>
              <c:numCache>
                <c:formatCode>0.00</c:formatCode>
                <c:ptCount val="7"/>
                <c:pt idx="0">
                  <c:v>127.04545454545455</c:v>
                </c:pt>
                <c:pt idx="1">
                  <c:v>28.40909090909091</c:v>
                </c:pt>
                <c:pt idx="2">
                  <c:v>12.840909090909093</c:v>
                </c:pt>
                <c:pt idx="3">
                  <c:v>7.1590909090909092</c:v>
                </c:pt>
                <c:pt idx="4">
                  <c:v>5.3977272727272734</c:v>
                </c:pt>
                <c:pt idx="5">
                  <c:v>3.4090909090909092</c:v>
                </c:pt>
                <c:pt idx="6">
                  <c:v>2.2727272727272729</c:v>
                </c:pt>
              </c:numCache>
            </c:numRef>
          </c:xVal>
          <c:yVal>
            <c:numRef>
              <c:f>FUSIBLES!$M$5:$M$11</c:f>
              <c:numCache>
                <c:formatCode>General</c:formatCode>
                <c:ptCount val="7"/>
                <c:pt idx="0">
                  <c:v>0.1</c:v>
                </c:pt>
                <c:pt idx="1">
                  <c:v>2</c:v>
                </c:pt>
                <c:pt idx="2">
                  <c:v>10</c:v>
                </c:pt>
                <c:pt idx="3">
                  <c:v>30</c:v>
                </c:pt>
                <c:pt idx="4">
                  <c:v>60</c:v>
                </c:pt>
                <c:pt idx="5">
                  <c:v>300</c:v>
                </c:pt>
                <c:pt idx="6">
                  <c:v>1800</c:v>
                </c:pt>
              </c:numCache>
            </c:numRef>
          </c:yVal>
          <c:smooth val="1"/>
          <c:extLst>
            <c:ext xmlns:c16="http://schemas.microsoft.com/office/drawing/2014/chart" uri="{C3380CC4-5D6E-409C-BE32-E72D297353CC}">
              <c16:uniqueId val="{00000000-6D77-4468-8EA4-E23DF40FAF44}"/>
            </c:ext>
          </c:extLst>
        </c:ser>
        <c:ser>
          <c:idx val="1"/>
          <c:order val="1"/>
          <c:tx>
            <c:v>Cap. Sobrecarga</c:v>
          </c:tx>
          <c:spPr>
            <a:ln w="28575">
              <a:solidFill>
                <a:srgbClr val="FFFF00"/>
              </a:solidFill>
            </a:ln>
          </c:spPr>
          <c:marker>
            <c:symbol val="none"/>
          </c:marker>
          <c:xVal>
            <c:numRef>
              <c:f>FUSIBLES!$Q$5:$Q$9</c:f>
              <c:numCache>
                <c:formatCode>0.00</c:formatCode>
                <c:ptCount val="5"/>
                <c:pt idx="0">
                  <c:v>2.2159090909090913</c:v>
                </c:pt>
                <c:pt idx="1">
                  <c:v>1.9198564593301439</c:v>
                </c:pt>
                <c:pt idx="2">
                  <c:v>1.6806220095693782</c:v>
                </c:pt>
                <c:pt idx="3">
                  <c:v>1.5101674641148326</c:v>
                </c:pt>
                <c:pt idx="4">
                  <c:v>1.3157894736842106</c:v>
                </c:pt>
              </c:numCache>
            </c:numRef>
          </c:xVal>
          <c:yVal>
            <c:numRef>
              <c:f>FUSIBLES!$P$5:$P$9</c:f>
              <c:numCache>
                <c:formatCode>General</c:formatCode>
                <c:ptCount val="5"/>
                <c:pt idx="0">
                  <c:v>3600</c:v>
                </c:pt>
                <c:pt idx="1">
                  <c:v>7200</c:v>
                </c:pt>
                <c:pt idx="2">
                  <c:v>14400</c:v>
                </c:pt>
                <c:pt idx="3">
                  <c:v>28800</c:v>
                </c:pt>
                <c:pt idx="4">
                  <c:v>86400</c:v>
                </c:pt>
              </c:numCache>
            </c:numRef>
          </c:yVal>
          <c:smooth val="1"/>
          <c:extLst>
            <c:ext xmlns:c16="http://schemas.microsoft.com/office/drawing/2014/chart" uri="{C3380CC4-5D6E-409C-BE32-E72D297353CC}">
              <c16:uniqueId val="{00000001-6D77-4468-8EA4-E23DF40FAF44}"/>
            </c:ext>
          </c:extLst>
        </c:ser>
        <c:ser>
          <c:idx val="2"/>
          <c:order val="2"/>
          <c:tx>
            <c:v>Energización</c:v>
          </c:tx>
          <c:spPr>
            <a:ln w="28575">
              <a:solidFill>
                <a:srgbClr val="00B050"/>
              </a:solidFill>
            </a:ln>
          </c:spPr>
          <c:marker>
            <c:symbol val="none"/>
          </c:marker>
          <c:xVal>
            <c:numRef>
              <c:f>FUSIBLES!$T$5:$T$8</c:f>
              <c:numCache>
                <c:formatCode>0.00</c:formatCode>
                <c:ptCount val="4"/>
                <c:pt idx="0">
                  <c:v>28.40909090909091</c:v>
                </c:pt>
                <c:pt idx="1">
                  <c:v>13.636363636363637</c:v>
                </c:pt>
                <c:pt idx="2">
                  <c:v>6.8181818181818183</c:v>
                </c:pt>
                <c:pt idx="3">
                  <c:v>3.4090909090909092</c:v>
                </c:pt>
              </c:numCache>
            </c:numRef>
          </c:xVal>
          <c:yVal>
            <c:numRef>
              <c:f>FUSIBLES!$S$5:$S$8</c:f>
              <c:numCache>
                <c:formatCode>General</c:formatCode>
                <c:ptCount val="4"/>
                <c:pt idx="0">
                  <c:v>0.01</c:v>
                </c:pt>
                <c:pt idx="1">
                  <c:v>0.1</c:v>
                </c:pt>
                <c:pt idx="2">
                  <c:v>1</c:v>
                </c:pt>
                <c:pt idx="3">
                  <c:v>10</c:v>
                </c:pt>
              </c:numCache>
            </c:numRef>
          </c:yVal>
          <c:smooth val="1"/>
          <c:extLst>
            <c:ext xmlns:c16="http://schemas.microsoft.com/office/drawing/2014/chart" uri="{C3380CC4-5D6E-409C-BE32-E72D297353CC}">
              <c16:uniqueId val="{00000002-6D77-4468-8EA4-E23DF40FAF44}"/>
            </c:ext>
          </c:extLst>
        </c:ser>
        <c:ser>
          <c:idx val="3"/>
          <c:order val="3"/>
          <c:tx>
            <c:v>Curva de Fusion Min</c:v>
          </c:tx>
          <c:marker>
            <c:symbol val="none"/>
          </c:marker>
          <c:dLbls>
            <c:dLbl>
              <c:idx val="2"/>
              <c:layout>
                <c:manualLayout>
                  <c:x val="-9.0985323445660682E-2"/>
                  <c:y val="1.8221257719524233E-2"/>
                </c:manualLayout>
              </c:layout>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s-CO"/>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0-F38E-4A51-964F-3057CFFFB73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FUSIBLES!$AH$13:$AH$29</c:f>
              <c:numCache>
                <c:formatCode>General</c:formatCode>
                <c:ptCount val="17"/>
                <c:pt idx="0">
                  <c:v>4</c:v>
                </c:pt>
                <c:pt idx="1">
                  <c:v>4.0999999999999996</c:v>
                </c:pt>
                <c:pt idx="2">
                  <c:v>4.2</c:v>
                </c:pt>
                <c:pt idx="3">
                  <c:v>4.3</c:v>
                </c:pt>
                <c:pt idx="4">
                  <c:v>4.4000000000000004</c:v>
                </c:pt>
                <c:pt idx="5">
                  <c:v>4.5</c:v>
                </c:pt>
                <c:pt idx="6">
                  <c:v>5.2</c:v>
                </c:pt>
                <c:pt idx="7">
                  <c:v>10</c:v>
                </c:pt>
                <c:pt idx="8">
                  <c:v>14.8</c:v>
                </c:pt>
                <c:pt idx="9">
                  <c:v>38</c:v>
                </c:pt>
                <c:pt idx="10">
                  <c:v>43</c:v>
                </c:pt>
                <c:pt idx="11">
                  <c:v>50</c:v>
                </c:pt>
                <c:pt idx="12">
                  <c:v>64</c:v>
                </c:pt>
                <c:pt idx="13">
                  <c:v>76</c:v>
                </c:pt>
                <c:pt idx="14">
                  <c:v>96</c:v>
                </c:pt>
                <c:pt idx="15">
                  <c:v>118</c:v>
                </c:pt>
                <c:pt idx="16">
                  <c:v>142</c:v>
                </c:pt>
              </c:numCache>
            </c:numRef>
          </c:xVal>
          <c:yVal>
            <c:numRef>
              <c:f>FUSIBLES!$AG$13:$AG$29</c:f>
              <c:numCache>
                <c:formatCode>General</c:formatCode>
                <c:ptCount val="17"/>
                <c:pt idx="0">
                  <c:v>300</c:v>
                </c:pt>
                <c:pt idx="1">
                  <c:v>180</c:v>
                </c:pt>
                <c:pt idx="2">
                  <c:v>120</c:v>
                </c:pt>
                <c:pt idx="3">
                  <c:v>60</c:v>
                </c:pt>
                <c:pt idx="4">
                  <c:v>30</c:v>
                </c:pt>
                <c:pt idx="5">
                  <c:v>10</c:v>
                </c:pt>
                <c:pt idx="6">
                  <c:v>4</c:v>
                </c:pt>
                <c:pt idx="7">
                  <c:v>1</c:v>
                </c:pt>
                <c:pt idx="8">
                  <c:v>0.5</c:v>
                </c:pt>
                <c:pt idx="9">
                  <c:v>0.1</c:v>
                </c:pt>
                <c:pt idx="10">
                  <c:v>0.08</c:v>
                </c:pt>
                <c:pt idx="11">
                  <c:v>0.06</c:v>
                </c:pt>
                <c:pt idx="12">
                  <c:v>0.04</c:v>
                </c:pt>
                <c:pt idx="13">
                  <c:v>0.03</c:v>
                </c:pt>
                <c:pt idx="14">
                  <c:v>0.02</c:v>
                </c:pt>
                <c:pt idx="15">
                  <c:v>1.4E-2</c:v>
                </c:pt>
                <c:pt idx="16">
                  <c:v>0.01</c:v>
                </c:pt>
              </c:numCache>
            </c:numRef>
          </c:yVal>
          <c:smooth val="1"/>
          <c:extLst>
            <c:ext xmlns:c16="http://schemas.microsoft.com/office/drawing/2014/chart" uri="{C3380CC4-5D6E-409C-BE32-E72D297353CC}">
              <c16:uniqueId val="{00000003-6D77-4468-8EA4-E23DF40FAF44}"/>
            </c:ext>
          </c:extLst>
        </c:ser>
        <c:ser>
          <c:idx val="4"/>
          <c:order val="4"/>
          <c:tx>
            <c:v>In</c:v>
          </c:tx>
          <c:spPr>
            <a:ln w="28575"/>
          </c:spPr>
          <c:marker>
            <c:symbol val="none"/>
          </c:marker>
          <c:xVal>
            <c:numRef>
              <c:f>FUSIBLES!$I$4:$I$9</c:f>
              <c:numCache>
                <c:formatCode>0.00</c:formatCode>
                <c:ptCount val="6"/>
                <c:pt idx="0">
                  <c:v>1.1363636363636365</c:v>
                </c:pt>
                <c:pt idx="1">
                  <c:v>1.1363636363636365</c:v>
                </c:pt>
                <c:pt idx="2">
                  <c:v>1.1363636363636365</c:v>
                </c:pt>
                <c:pt idx="3">
                  <c:v>1.1363636363636365</c:v>
                </c:pt>
                <c:pt idx="4">
                  <c:v>1.1363636363636365</c:v>
                </c:pt>
                <c:pt idx="5">
                  <c:v>1.1363636363636365</c:v>
                </c:pt>
              </c:numCache>
            </c:numRef>
          </c:xVal>
          <c:yVal>
            <c:numRef>
              <c:f>FUSIBLES!$H$4:$H$9</c:f>
              <c:numCache>
                <c:formatCode>General</c:formatCode>
                <c:ptCount val="6"/>
                <c:pt idx="0">
                  <c:v>1E-3</c:v>
                </c:pt>
                <c:pt idx="1">
                  <c:v>0.1</c:v>
                </c:pt>
                <c:pt idx="2">
                  <c:v>1</c:v>
                </c:pt>
                <c:pt idx="3">
                  <c:v>10</c:v>
                </c:pt>
                <c:pt idx="4">
                  <c:v>100</c:v>
                </c:pt>
                <c:pt idx="5">
                  <c:v>1000</c:v>
                </c:pt>
              </c:numCache>
            </c:numRef>
          </c:yVal>
          <c:smooth val="1"/>
          <c:extLst>
            <c:ext xmlns:c16="http://schemas.microsoft.com/office/drawing/2014/chart" uri="{C3380CC4-5D6E-409C-BE32-E72D297353CC}">
              <c16:uniqueId val="{00000004-6D77-4468-8EA4-E23DF40FAF44}"/>
            </c:ext>
          </c:extLst>
        </c:ser>
        <c:ser>
          <c:idx val="5"/>
          <c:order val="5"/>
          <c:tx>
            <c:v>Curva de despeje Max</c:v>
          </c:tx>
          <c:marker>
            <c:symbol val="none"/>
          </c:marker>
          <c:dLbls>
            <c:dLbl>
              <c:idx val="3"/>
              <c:layout>
                <c:manualLayout>
                  <c:x val="2.64150939035789E-2"/>
                  <c:y val="-1.6196673528466054E-2"/>
                </c:manualLayout>
              </c:layout>
              <c:spPr>
                <a:solidFill>
                  <a:sysClr val="window" lastClr="FFFFFF"/>
                </a:solidFill>
                <a:ln>
                  <a:solidFill>
                    <a:sysClr val="windowText" lastClr="000000">
                      <a:lumMod val="65000"/>
                      <a:lumOff val="35000"/>
                    </a:sysClr>
                  </a:solidFill>
                </a:ln>
                <a:effectLst/>
              </c:spPr>
              <c:txPr>
                <a:bodyPr wrap="square" lIns="38100" tIns="19050" rIns="38100" bIns="19050" anchor="ctr">
                  <a:spAutoFit/>
                </a:bodyPr>
                <a:lstStyle/>
                <a:p>
                  <a:pPr>
                    <a:defRPr/>
                  </a:pPr>
                  <a:endParaRPr lang="es-CO"/>
                </a:p>
              </c:txPr>
              <c:showLegendKey val="0"/>
              <c:showVal val="1"/>
              <c:showCatName val="1"/>
              <c:showSerName val="0"/>
              <c:showPercent val="0"/>
              <c:showBubbleSize val="0"/>
              <c:extLst>
                <c:ext xmlns:c15="http://schemas.microsoft.com/office/drawing/2012/chart" uri="{CE6537A1-D6FC-4f65-9D91-7224C49458BB}">
                  <c15:spPr xmlns:c15="http://schemas.microsoft.com/office/drawing/2012/chart">
                    <a:prstGeom prst="wedgeRectCallout">
                      <a:avLst/>
                    </a:prstGeom>
                  </c15:spPr>
                </c:ext>
                <c:ext xmlns:c16="http://schemas.microsoft.com/office/drawing/2014/chart" uri="{C3380CC4-5D6E-409C-BE32-E72D297353CC}">
                  <c16:uniqueId val="{00000001-F38E-4A51-964F-3057CFFFB732}"/>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xVal>
            <c:numRef>
              <c:f>FUSIBLES!$AJ$13:$AJ$29</c:f>
              <c:numCache>
                <c:formatCode>General</c:formatCode>
                <c:ptCount val="17"/>
                <c:pt idx="0">
                  <c:v>4.8</c:v>
                </c:pt>
                <c:pt idx="1">
                  <c:v>5</c:v>
                </c:pt>
                <c:pt idx="2">
                  <c:v>5</c:v>
                </c:pt>
                <c:pt idx="3">
                  <c:v>5.2</c:v>
                </c:pt>
                <c:pt idx="4">
                  <c:v>5.4</c:v>
                </c:pt>
                <c:pt idx="5">
                  <c:v>5.8</c:v>
                </c:pt>
                <c:pt idx="6">
                  <c:v>8.1</c:v>
                </c:pt>
                <c:pt idx="7">
                  <c:v>15.8</c:v>
                </c:pt>
                <c:pt idx="8">
                  <c:v>22</c:v>
                </c:pt>
                <c:pt idx="9">
                  <c:v>51</c:v>
                </c:pt>
                <c:pt idx="10">
                  <c:v>58</c:v>
                </c:pt>
                <c:pt idx="11">
                  <c:v>71</c:v>
                </c:pt>
                <c:pt idx="12">
                  <c:v>96</c:v>
                </c:pt>
                <c:pt idx="13">
                  <c:v>120</c:v>
                </c:pt>
                <c:pt idx="14">
                  <c:v>170</c:v>
                </c:pt>
                <c:pt idx="15">
                  <c:v>230</c:v>
                </c:pt>
                <c:pt idx="16">
                  <c:v>2300</c:v>
                </c:pt>
              </c:numCache>
            </c:numRef>
          </c:xVal>
          <c:yVal>
            <c:numRef>
              <c:f>FUSIBLES!$AI$13:$AI$29</c:f>
              <c:numCache>
                <c:formatCode>General</c:formatCode>
                <c:ptCount val="17"/>
                <c:pt idx="0">
                  <c:v>300</c:v>
                </c:pt>
                <c:pt idx="1">
                  <c:v>180</c:v>
                </c:pt>
                <c:pt idx="2">
                  <c:v>120</c:v>
                </c:pt>
                <c:pt idx="3">
                  <c:v>60</c:v>
                </c:pt>
                <c:pt idx="4">
                  <c:v>30</c:v>
                </c:pt>
                <c:pt idx="5">
                  <c:v>10</c:v>
                </c:pt>
                <c:pt idx="6">
                  <c:v>4</c:v>
                </c:pt>
                <c:pt idx="7">
                  <c:v>1</c:v>
                </c:pt>
                <c:pt idx="8">
                  <c:v>0.5</c:v>
                </c:pt>
                <c:pt idx="9">
                  <c:v>0.1</c:v>
                </c:pt>
                <c:pt idx="10">
                  <c:v>0.08</c:v>
                </c:pt>
                <c:pt idx="11">
                  <c:v>0.06</c:v>
                </c:pt>
                <c:pt idx="12">
                  <c:v>0.04</c:v>
                </c:pt>
                <c:pt idx="13">
                  <c:v>0.03</c:v>
                </c:pt>
                <c:pt idx="14">
                  <c:v>0.02</c:v>
                </c:pt>
                <c:pt idx="15">
                  <c:v>1.4E-2</c:v>
                </c:pt>
                <c:pt idx="16">
                  <c:v>0.01</c:v>
                </c:pt>
              </c:numCache>
            </c:numRef>
          </c:yVal>
          <c:smooth val="1"/>
          <c:extLst>
            <c:ext xmlns:c16="http://schemas.microsoft.com/office/drawing/2014/chart" uri="{C3380CC4-5D6E-409C-BE32-E72D297353CC}">
              <c16:uniqueId val="{00000005-6D77-4468-8EA4-E23DF40FAF44}"/>
            </c:ext>
          </c:extLst>
        </c:ser>
        <c:dLbls>
          <c:showLegendKey val="0"/>
          <c:showVal val="0"/>
          <c:showCatName val="0"/>
          <c:showSerName val="0"/>
          <c:showPercent val="0"/>
          <c:showBubbleSize val="0"/>
        </c:dLbls>
        <c:axId val="348117632"/>
        <c:axId val="348401696"/>
      </c:scatterChart>
      <c:valAx>
        <c:axId val="348117632"/>
        <c:scaling>
          <c:logBase val="10"/>
          <c:orientation val="minMax"/>
        </c:scaling>
        <c:delete val="0"/>
        <c:axPos val="b"/>
        <c:majorGridlines>
          <c:spPr>
            <a:ln w="3175">
              <a:solidFill>
                <a:srgbClr val="000000"/>
              </a:solidFill>
              <a:prstDash val="solid"/>
            </a:ln>
          </c:spPr>
        </c:majorGridlines>
        <c:minorGridlines/>
        <c:title>
          <c:tx>
            <c:rich>
              <a:bodyPr/>
              <a:lstStyle/>
              <a:p>
                <a:pPr>
                  <a:defRPr/>
                </a:pPr>
                <a:r>
                  <a:rPr lang="es-CO"/>
                  <a:t>Corriente (A)</a:t>
                </a:r>
              </a:p>
            </c:rich>
          </c:tx>
          <c:overlay val="0"/>
        </c:title>
        <c:numFmt formatCode="0.00" sourceLinked="1"/>
        <c:majorTickMark val="out"/>
        <c:minorTickMark val="out"/>
        <c:tickLblPos val="low"/>
        <c:spPr>
          <a:ln w="3175">
            <a:solidFill>
              <a:srgbClr val="000000"/>
            </a:solidFill>
            <a:prstDash val="solid"/>
          </a:ln>
        </c:spPr>
        <c:txPr>
          <a:bodyPr rot="0" vert="horz"/>
          <a:lstStyle/>
          <a:p>
            <a:pPr>
              <a:defRPr/>
            </a:pPr>
            <a:endParaRPr lang="es-CO"/>
          </a:p>
        </c:txPr>
        <c:crossAx val="348401696"/>
        <c:crosses val="autoZero"/>
        <c:crossBetween val="midCat"/>
      </c:valAx>
      <c:valAx>
        <c:axId val="348401696"/>
        <c:scaling>
          <c:logBase val="10"/>
          <c:orientation val="minMax"/>
        </c:scaling>
        <c:delete val="0"/>
        <c:axPos val="l"/>
        <c:majorGridlines>
          <c:spPr>
            <a:ln w="3175">
              <a:solidFill>
                <a:srgbClr val="000000"/>
              </a:solidFill>
              <a:prstDash val="solid"/>
            </a:ln>
          </c:spPr>
        </c:majorGridlines>
        <c:minorGridlines/>
        <c:numFmt formatCode="General" sourceLinked="1"/>
        <c:majorTickMark val="out"/>
        <c:minorTickMark val="in"/>
        <c:tickLblPos val="nextTo"/>
        <c:spPr>
          <a:ln w="3175">
            <a:solidFill>
              <a:srgbClr val="000000"/>
            </a:solidFill>
            <a:prstDash val="solid"/>
          </a:ln>
        </c:spPr>
        <c:txPr>
          <a:bodyPr rot="0" vert="horz"/>
          <a:lstStyle/>
          <a:p>
            <a:pPr>
              <a:defRPr/>
            </a:pPr>
            <a:endParaRPr lang="es-CO"/>
          </a:p>
        </c:txPr>
        <c:crossAx val="348117632"/>
        <c:crossesAt val="0.1"/>
        <c:crossBetween val="midCat"/>
        <c:minorUnit val="10"/>
      </c:valAx>
      <c:spPr>
        <a:solidFill>
          <a:schemeClr val="lt1"/>
        </a:solidFill>
        <a:ln w="25400" cap="flat" cmpd="sng" algn="ctr">
          <a:solidFill>
            <a:schemeClr val="dk1"/>
          </a:solidFill>
          <a:prstDash val="solid"/>
        </a:ln>
        <a:effectLst/>
      </c:spPr>
    </c:plotArea>
    <c:legend>
      <c:legendPos val="b"/>
      <c:layout>
        <c:manualLayout>
          <c:xMode val="edge"/>
          <c:yMode val="edge"/>
          <c:x val="6.1740024402185172E-2"/>
          <c:y val="0.90593622432265308"/>
          <c:w val="0.66858722222222222"/>
          <c:h val="6.3695000000000002E-2"/>
        </c:manualLayout>
      </c:layout>
      <c:overlay val="0"/>
    </c:legend>
    <c:plotVisOnly val="1"/>
    <c:dispBlanksAs val="gap"/>
    <c:showDLblsOverMax val="0"/>
  </c:chart>
  <c:spPr>
    <a:solidFill>
      <a:schemeClr val="lt1"/>
    </a:solidFill>
    <a:ln w="25400" cap="flat" cmpd="sng" algn="ctr">
      <a:solidFill>
        <a:schemeClr val="dk1"/>
      </a:solidFill>
      <a:prstDash val="solid"/>
    </a:ln>
    <a:effectLst/>
  </c:spPr>
  <c:txPr>
    <a:bodyPr/>
    <a:lstStyle/>
    <a:p>
      <a:pPr>
        <a:defRPr>
          <a:solidFill>
            <a:schemeClr val="dk1"/>
          </a:solidFill>
          <a:latin typeface="+mn-lt"/>
          <a:ea typeface="+mn-ea"/>
          <a:cs typeface="+mn-cs"/>
        </a:defRPr>
      </a:pPr>
      <a:endParaRPr lang="es-CO"/>
    </a:p>
  </c:txPr>
  <c:printSettings>
    <c:headerFooter/>
    <c:pageMargins b="0.75" l="0.7" r="0.7" t="0.75" header="0.3" footer="0.3"/>
    <c:pageSetup/>
  </c:printSettings>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500-000000000000}">
  <sheetPr codeName="Gráfico11"/>
  <sheetViews>
    <sheetView zoomScale="70" workbookViewId="0" zoomToFit="1"/>
  </sheetViews>
  <pageMargins left="0.7" right="0.7" top="0.75" bottom="0.75" header="0.3" footer="0.3"/>
  <drawing r:id="rId1"/>
</chartsheet>
</file>

<file path=xl/chartsheets/sheet2.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00000000-0001-0000-0600-000000000000}">
  <sheetPr codeName="Gráfico15"/>
  <sheetViews>
    <sheetView zoomScale="70" workbookViewId="0" zoomToFit="1"/>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firstButton="1" fmlaLink="$AT$7" lockText="1" noThreeD="1"/>
</file>

<file path=xl/ctrlProps/ctrlProp11.xml><?xml version="1.0" encoding="utf-8"?>
<formControlPr xmlns="http://schemas.microsoft.com/office/spreadsheetml/2009/9/main" objectType="Radio" checked="Checked" lockText="1" noThreeD="1"/>
</file>

<file path=xl/ctrlProps/ctrlProp12.xml><?xml version="1.0" encoding="utf-8"?>
<formControlPr xmlns="http://schemas.microsoft.com/office/spreadsheetml/2009/9/main" objectType="Scroll" dx="22" fmlaLink="$F$10" horiz="1" max="5000" min="1000" page="10" val="5000"/>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7.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8" Type="http://schemas.openxmlformats.org/officeDocument/2006/relationships/image" Target="../media/image10.png"/><Relationship Id="rId3" Type="http://schemas.openxmlformats.org/officeDocument/2006/relationships/image" Target="../media/image5.jpeg"/><Relationship Id="rId7" Type="http://schemas.openxmlformats.org/officeDocument/2006/relationships/image" Target="../media/image9.png"/><Relationship Id="rId2" Type="http://schemas.openxmlformats.org/officeDocument/2006/relationships/image" Target="../media/image4.jpeg"/><Relationship Id="rId1" Type="http://schemas.openxmlformats.org/officeDocument/2006/relationships/image" Target="../media/image3.png"/><Relationship Id="rId6" Type="http://schemas.openxmlformats.org/officeDocument/2006/relationships/image" Target="../media/image8.jpeg"/><Relationship Id="rId11" Type="http://schemas.openxmlformats.org/officeDocument/2006/relationships/image" Target="../media/image13.png"/><Relationship Id="rId5" Type="http://schemas.openxmlformats.org/officeDocument/2006/relationships/image" Target="../media/image7.png"/><Relationship Id="rId10" Type="http://schemas.openxmlformats.org/officeDocument/2006/relationships/image" Target="../media/image12.png"/><Relationship Id="rId4" Type="http://schemas.openxmlformats.org/officeDocument/2006/relationships/image" Target="../media/image6.png"/><Relationship Id="rId9" Type="http://schemas.openxmlformats.org/officeDocument/2006/relationships/image" Target="../media/image1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4.tmp"/></Relationships>
</file>

<file path=xl/drawings/drawing1.xml><?xml version="1.0" encoding="utf-8"?>
<xdr:wsDr xmlns:xdr="http://schemas.openxmlformats.org/drawingml/2006/spreadsheetDrawing" xmlns:a="http://schemas.openxmlformats.org/drawingml/2006/main">
  <xdr:absoluteAnchor>
    <xdr:pos x="0" y="0"/>
    <xdr:ext cx="8654143" cy="6272893"/>
    <xdr:graphicFrame macro="">
      <xdr:nvGraphicFramePr>
        <xdr:cNvPr id="2" name="Fusible Dual">
          <a:extLst>
            <a:ext uri="{FF2B5EF4-FFF2-40B4-BE49-F238E27FC236}">
              <a16:creationId xmlns:a16="http://schemas.microsoft.com/office/drawing/2014/main" id="{00000000-0008-0000-05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8654143" cy="6272893"/>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xdr:wsDr xmlns:xdr="http://schemas.openxmlformats.org/drawingml/2006/spreadsheetDrawing" xmlns:a="http://schemas.openxmlformats.org/drawingml/2006/main">
  <xdr:absoluteAnchor>
    <xdr:pos x="2286000" y="1524000"/>
    <xdr:ext cx="8654143" cy="6272893"/>
    <xdr:graphicFrame macro="">
      <xdr:nvGraphicFramePr>
        <xdr:cNvPr id="3" name="Gráfico 2">
          <a:extLst>
            <a:ext uri="{FF2B5EF4-FFF2-40B4-BE49-F238E27FC236}">
              <a16:creationId xmlns:a16="http://schemas.microsoft.com/office/drawing/2014/main" id="{00000000-0008-0000-0700-000003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4.xml><?xml version="1.0" encoding="utf-8"?>
<xdr:wsDr xmlns:xdr="http://schemas.openxmlformats.org/drawingml/2006/spreadsheetDrawing" xmlns:a="http://schemas.openxmlformats.org/drawingml/2006/main">
  <xdr:absoluteAnchor>
    <xdr:pos x="2286000" y="952500"/>
    <xdr:ext cx="8654143" cy="6272893"/>
    <xdr:graphicFrame macro="">
      <xdr:nvGraphicFramePr>
        <xdr:cNvPr id="5" name="Gráfico 4">
          <a:extLst>
            <a:ext uri="{FF2B5EF4-FFF2-40B4-BE49-F238E27FC236}">
              <a16:creationId xmlns:a16="http://schemas.microsoft.com/office/drawing/2014/main" id="{00000000-0008-0000-0800-000005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xdr:wsDr xmlns:xdr="http://schemas.openxmlformats.org/drawingml/2006/spreadsheetDrawing" xmlns:a="http://schemas.openxmlformats.org/drawingml/2006/main">
  <xdr:absoluteAnchor>
    <xdr:pos x="2743200" y="38100"/>
    <xdr:ext cx="8654143" cy="6272893"/>
    <xdr:graphicFrame macro="">
      <xdr:nvGraphicFramePr>
        <xdr:cNvPr id="2" name="Gráfico 1">
          <a:extLst>
            <a:ext uri="{FF2B5EF4-FFF2-40B4-BE49-F238E27FC236}">
              <a16:creationId xmlns:a16="http://schemas.microsoft.com/office/drawing/2014/main" id="{00000000-0008-0000-0900-000002000000}"/>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57150</xdr:colOff>
          <xdr:row>6</xdr:row>
          <xdr:rowOff>28575</xdr:rowOff>
        </xdr:from>
        <xdr:to>
          <xdr:col>3</xdr:col>
          <xdr:colOff>1590675</xdr:colOff>
          <xdr:row>7</xdr:row>
          <xdr:rowOff>9525</xdr:rowOff>
        </xdr:to>
        <xdr:sp macro="" textlink="">
          <xdr:nvSpPr>
            <xdr:cNvPr id="24580" name="Fusible VS" hidden="1">
              <a:extLst>
                <a:ext uri="{63B3BB69-23CF-44E3-9099-C40C66FF867C}">
                  <a14:compatExt spid="_x0000_s24580"/>
                </a:ext>
                <a:ext uri="{FF2B5EF4-FFF2-40B4-BE49-F238E27FC236}">
                  <a16:creationId xmlns:a16="http://schemas.microsoft.com/office/drawing/2014/main" id="{00000000-0008-0000-0A00-000004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Ver Grafico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xdr:colOff>
          <xdr:row>7</xdr:row>
          <xdr:rowOff>57150</xdr:rowOff>
        </xdr:from>
        <xdr:to>
          <xdr:col>3</xdr:col>
          <xdr:colOff>1600200</xdr:colOff>
          <xdr:row>8</xdr:row>
          <xdr:rowOff>28575</xdr:rowOff>
        </xdr:to>
        <xdr:sp macro="" textlink="">
          <xdr:nvSpPr>
            <xdr:cNvPr id="24582" name="Button 6" hidden="1">
              <a:extLst>
                <a:ext uri="{63B3BB69-23CF-44E3-9099-C40C66FF867C}">
                  <a14:compatExt spid="_x0000_s24582"/>
                </a:ext>
                <a:ext uri="{FF2B5EF4-FFF2-40B4-BE49-F238E27FC236}">
                  <a16:creationId xmlns:a16="http://schemas.microsoft.com/office/drawing/2014/main" id="{00000000-0008-0000-0A00-000006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Ver Grafico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8</xdr:row>
          <xdr:rowOff>57150</xdr:rowOff>
        </xdr:from>
        <xdr:to>
          <xdr:col>3</xdr:col>
          <xdr:colOff>1571625</xdr:colOff>
          <xdr:row>8</xdr:row>
          <xdr:rowOff>247650</xdr:rowOff>
        </xdr:to>
        <xdr:sp macro="" textlink="">
          <xdr:nvSpPr>
            <xdr:cNvPr id="24587" name="Button 11" hidden="1">
              <a:extLst>
                <a:ext uri="{63B3BB69-23CF-44E3-9099-C40C66FF867C}">
                  <a14:compatExt spid="_x0000_s24587"/>
                </a:ext>
                <a:ext uri="{FF2B5EF4-FFF2-40B4-BE49-F238E27FC236}">
                  <a16:creationId xmlns:a16="http://schemas.microsoft.com/office/drawing/2014/main" id="{00000000-0008-0000-0A00-00000B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Ver Grafico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66675</xdr:colOff>
          <xdr:row>9</xdr:row>
          <xdr:rowOff>76200</xdr:rowOff>
        </xdr:from>
        <xdr:to>
          <xdr:col>4</xdr:col>
          <xdr:colOff>0</xdr:colOff>
          <xdr:row>9</xdr:row>
          <xdr:rowOff>257175</xdr:rowOff>
        </xdr:to>
        <xdr:sp macro="" textlink="">
          <xdr:nvSpPr>
            <xdr:cNvPr id="24590" name="Button 14" hidden="1">
              <a:extLst>
                <a:ext uri="{63B3BB69-23CF-44E3-9099-C40C66FF867C}">
                  <a14:compatExt spid="_x0000_s24590"/>
                </a:ext>
                <a:ext uri="{FF2B5EF4-FFF2-40B4-BE49-F238E27FC236}">
                  <a16:creationId xmlns:a16="http://schemas.microsoft.com/office/drawing/2014/main" id="{00000000-0008-0000-0A00-00000E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Ver Grafico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66675</xdr:colOff>
          <xdr:row>10</xdr:row>
          <xdr:rowOff>9525</xdr:rowOff>
        </xdr:from>
        <xdr:to>
          <xdr:col>4</xdr:col>
          <xdr:colOff>0</xdr:colOff>
          <xdr:row>10</xdr:row>
          <xdr:rowOff>190500</xdr:rowOff>
        </xdr:to>
        <xdr:sp macro="" textlink="">
          <xdr:nvSpPr>
            <xdr:cNvPr id="24591" name="Button 15" hidden="1">
              <a:extLst>
                <a:ext uri="{63B3BB69-23CF-44E3-9099-C40C66FF867C}">
                  <a14:compatExt spid="_x0000_s24591"/>
                </a:ext>
                <a:ext uri="{FF2B5EF4-FFF2-40B4-BE49-F238E27FC236}">
                  <a16:creationId xmlns:a16="http://schemas.microsoft.com/office/drawing/2014/main" id="{00000000-0008-0000-0A00-00000F6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CO" sz="1100" b="0" i="0" u="none" strike="noStrike" baseline="0">
                  <a:solidFill>
                    <a:srgbClr val="000000"/>
                  </a:solidFill>
                  <a:latin typeface="Calibri"/>
                  <a:cs typeface="Calibri"/>
                </a:rPr>
                <a:t>Ver Grafico</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11</xdr:col>
      <xdr:colOff>38100</xdr:colOff>
      <xdr:row>21</xdr:row>
      <xdr:rowOff>28575</xdr:rowOff>
    </xdr:from>
    <xdr:to>
      <xdr:col>11</xdr:col>
      <xdr:colOff>1427747</xdr:colOff>
      <xdr:row>21</xdr:row>
      <xdr:rowOff>457200</xdr:rowOff>
    </xdr:to>
    <xdr:pic>
      <xdr:nvPicPr>
        <xdr:cNvPr id="3" name="Picture 33">
          <a:extLst>
            <a:ext uri="{FF2B5EF4-FFF2-40B4-BE49-F238E27FC236}">
              <a16:creationId xmlns:a16="http://schemas.microsoft.com/office/drawing/2014/main" id="{00000000-0008-0000-0D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28752" t="48915" r="42314" b="39519"/>
        <a:stretch>
          <a:fillRect/>
        </a:stretch>
      </xdr:blipFill>
      <xdr:spPr bwMode="auto">
        <a:xfrm>
          <a:off x="16478250" y="6324600"/>
          <a:ext cx="1389647" cy="428625"/>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editAs="oneCell">
    <xdr:from>
      <xdr:col>27</xdr:col>
      <xdr:colOff>752475</xdr:colOff>
      <xdr:row>1</xdr:row>
      <xdr:rowOff>85726</xdr:rowOff>
    </xdr:from>
    <xdr:to>
      <xdr:col>35</xdr:col>
      <xdr:colOff>371475</xdr:colOff>
      <xdr:row>9</xdr:row>
      <xdr:rowOff>180976</xdr:rowOff>
    </xdr:to>
    <xdr:pic>
      <xdr:nvPicPr>
        <xdr:cNvPr id="4" name="Picture 23" descr="esfera rodante">
          <a:extLst>
            <a:ext uri="{FF2B5EF4-FFF2-40B4-BE49-F238E27FC236}">
              <a16:creationId xmlns:a16="http://schemas.microsoft.com/office/drawing/2014/main" id="{00000000-0008-0000-0D00-000004000000}"/>
            </a:ext>
          </a:extLst>
        </xdr:cNvPr>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3500" t="-5978" r="-3500" b="48369"/>
        <a:stretch/>
      </xdr:blipFill>
      <xdr:spPr bwMode="auto">
        <a:xfrm>
          <a:off x="30670500" y="552451"/>
          <a:ext cx="5715000" cy="2019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14</xdr:col>
      <xdr:colOff>228600</xdr:colOff>
      <xdr:row>0</xdr:row>
      <xdr:rowOff>47625</xdr:rowOff>
    </xdr:from>
    <xdr:to>
      <xdr:col>14</xdr:col>
      <xdr:colOff>1647825</xdr:colOff>
      <xdr:row>0</xdr:row>
      <xdr:rowOff>1438275</xdr:rowOff>
    </xdr:to>
    <xdr:pic>
      <xdr:nvPicPr>
        <xdr:cNvPr id="2" name="1 Imagen" descr="ARCO_ELECTRICO.png">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163425" y="47625"/>
          <a:ext cx="1419225" cy="1390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180975</xdr:colOff>
      <xdr:row>1</xdr:row>
      <xdr:rowOff>19050</xdr:rowOff>
    </xdr:from>
    <xdr:to>
      <xdr:col>14</xdr:col>
      <xdr:colOff>1619250</xdr:colOff>
      <xdr:row>1</xdr:row>
      <xdr:rowOff>1304925</xdr:rowOff>
    </xdr:to>
    <xdr:pic>
      <xdr:nvPicPr>
        <xdr:cNvPr id="3" name="2 Imagen" descr="ausencia de elctricidad.jpg">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15800" y="1666875"/>
          <a:ext cx="1438275" cy="12858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428624</xdr:colOff>
      <xdr:row>2</xdr:row>
      <xdr:rowOff>39886</xdr:rowOff>
    </xdr:from>
    <xdr:to>
      <xdr:col>14</xdr:col>
      <xdr:colOff>1543049</xdr:colOff>
      <xdr:row>2</xdr:row>
      <xdr:rowOff>1162050</xdr:rowOff>
    </xdr:to>
    <xdr:pic>
      <xdr:nvPicPr>
        <xdr:cNvPr id="4" name="4 Imagen" descr="contacto electrico.jpg">
          <a:extLst>
            <a:ext uri="{FF2B5EF4-FFF2-40B4-BE49-F238E27FC236}">
              <a16:creationId xmlns:a16="http://schemas.microsoft.com/office/drawing/2014/main" id="{00000000-0008-0000-0F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rcRect/>
        <a:stretch>
          <a:fillRect/>
        </a:stretch>
      </xdr:blipFill>
      <xdr:spPr bwMode="auto">
        <a:xfrm>
          <a:off x="12363449" y="3049786"/>
          <a:ext cx="1114425" cy="11221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371475</xdr:colOff>
      <xdr:row>3</xdr:row>
      <xdr:rowOff>55789</xdr:rowOff>
    </xdr:from>
    <xdr:to>
      <xdr:col>14</xdr:col>
      <xdr:colOff>1657350</xdr:colOff>
      <xdr:row>3</xdr:row>
      <xdr:rowOff>1219200</xdr:rowOff>
    </xdr:to>
    <xdr:pic>
      <xdr:nvPicPr>
        <xdr:cNvPr id="5" name="6 Imagen" descr="contacto indirecto.jpg">
          <a:extLst>
            <a:ext uri="{FF2B5EF4-FFF2-40B4-BE49-F238E27FC236}">
              <a16:creationId xmlns:a16="http://schemas.microsoft.com/office/drawing/2014/main" id="{00000000-0008-0000-0F00-000005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306300" y="4342039"/>
          <a:ext cx="1285875" cy="116341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333375</xdr:colOff>
      <xdr:row>4</xdr:row>
      <xdr:rowOff>295275</xdr:rowOff>
    </xdr:from>
    <xdr:to>
      <xdr:col>14</xdr:col>
      <xdr:colOff>1781175</xdr:colOff>
      <xdr:row>4</xdr:row>
      <xdr:rowOff>1257300</xdr:rowOff>
    </xdr:to>
    <xdr:pic>
      <xdr:nvPicPr>
        <xdr:cNvPr id="6" name="7 Imagen" descr="cortocircuito.png">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268200" y="5838825"/>
          <a:ext cx="144780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352426</xdr:colOff>
      <xdr:row>5</xdr:row>
      <xdr:rowOff>28575</xdr:rowOff>
    </xdr:from>
    <xdr:to>
      <xdr:col>14</xdr:col>
      <xdr:colOff>1533526</xdr:colOff>
      <xdr:row>5</xdr:row>
      <xdr:rowOff>932235</xdr:rowOff>
    </xdr:to>
    <xdr:pic>
      <xdr:nvPicPr>
        <xdr:cNvPr id="7" name="8 Imagen" descr="electricidad estatica.jpg">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2287251" y="7000875"/>
          <a:ext cx="1181100" cy="903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547950</xdr:colOff>
      <xdr:row>6</xdr:row>
      <xdr:rowOff>152400</xdr:rowOff>
    </xdr:from>
    <xdr:to>
      <xdr:col>14</xdr:col>
      <xdr:colOff>1524000</xdr:colOff>
      <xdr:row>6</xdr:row>
      <xdr:rowOff>962585</xdr:rowOff>
    </xdr:to>
    <xdr:pic>
      <xdr:nvPicPr>
        <xdr:cNvPr id="8" name="9 Imagen" descr="equipos defectuosos.png">
          <a:extLst>
            <a:ext uri="{FF2B5EF4-FFF2-40B4-BE49-F238E27FC236}">
              <a16:creationId xmlns:a16="http://schemas.microsoft.com/office/drawing/2014/main" id="{00000000-0008-0000-0F00-000008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2482775" y="8115300"/>
          <a:ext cx="976050" cy="81018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581025</xdr:colOff>
      <xdr:row>7</xdr:row>
      <xdr:rowOff>41104</xdr:rowOff>
    </xdr:from>
    <xdr:to>
      <xdr:col>14</xdr:col>
      <xdr:colOff>1524001</xdr:colOff>
      <xdr:row>7</xdr:row>
      <xdr:rowOff>933450</xdr:rowOff>
    </xdr:to>
    <xdr:pic>
      <xdr:nvPicPr>
        <xdr:cNvPr id="9" name="10 Imagen" descr="RAYOS.png">
          <a:extLst>
            <a:ext uri="{FF2B5EF4-FFF2-40B4-BE49-F238E27FC236}">
              <a16:creationId xmlns:a16="http://schemas.microsoft.com/office/drawing/2014/main" id="{00000000-0008-0000-0F00-000009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2515850" y="9051754"/>
          <a:ext cx="942976" cy="89234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495300</xdr:colOff>
      <xdr:row>8</xdr:row>
      <xdr:rowOff>175755</xdr:rowOff>
    </xdr:from>
    <xdr:to>
      <xdr:col>14</xdr:col>
      <xdr:colOff>1571625</xdr:colOff>
      <xdr:row>8</xdr:row>
      <xdr:rowOff>1266824</xdr:rowOff>
    </xdr:to>
    <xdr:pic>
      <xdr:nvPicPr>
        <xdr:cNvPr id="10" name="11 Imagen" descr="SOBRECARGA.png">
          <a:extLst>
            <a:ext uri="{FF2B5EF4-FFF2-40B4-BE49-F238E27FC236}">
              <a16:creationId xmlns:a16="http://schemas.microsoft.com/office/drawing/2014/main" id="{00000000-0008-0000-0F00-00000A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12430125" y="10196055"/>
          <a:ext cx="1076325" cy="10910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304800</xdr:colOff>
      <xdr:row>9</xdr:row>
      <xdr:rowOff>48501</xdr:rowOff>
    </xdr:from>
    <xdr:to>
      <xdr:col>14</xdr:col>
      <xdr:colOff>1552575</xdr:colOff>
      <xdr:row>9</xdr:row>
      <xdr:rowOff>885824</xdr:rowOff>
    </xdr:to>
    <xdr:pic>
      <xdr:nvPicPr>
        <xdr:cNvPr id="11" name="12 Imagen" descr="TENSION DE CONTACTO.png">
          <a:extLst>
            <a:ext uri="{FF2B5EF4-FFF2-40B4-BE49-F238E27FC236}">
              <a16:creationId xmlns:a16="http://schemas.microsoft.com/office/drawing/2014/main" id="{00000000-0008-0000-0F00-00000B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2239625" y="11535651"/>
          <a:ext cx="1247775" cy="8373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381001</xdr:colOff>
      <xdr:row>10</xdr:row>
      <xdr:rowOff>95250</xdr:rowOff>
    </xdr:from>
    <xdr:to>
      <xdr:col>14</xdr:col>
      <xdr:colOff>1409701</xdr:colOff>
      <xdr:row>10</xdr:row>
      <xdr:rowOff>851030</xdr:rowOff>
    </xdr:to>
    <xdr:pic>
      <xdr:nvPicPr>
        <xdr:cNvPr id="12" name="13 Imagen" descr="TENSION DE PASO.png">
          <a:extLst>
            <a:ext uri="{FF2B5EF4-FFF2-40B4-BE49-F238E27FC236}">
              <a16:creationId xmlns:a16="http://schemas.microsoft.com/office/drawing/2014/main" id="{00000000-0008-0000-0F00-00000C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2315826" y="12525375"/>
          <a:ext cx="1028700" cy="755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200025</xdr:colOff>
      <xdr:row>19</xdr:row>
      <xdr:rowOff>38100</xdr:rowOff>
    </xdr:from>
    <xdr:to>
      <xdr:col>6</xdr:col>
      <xdr:colOff>257175</xdr:colOff>
      <xdr:row>20</xdr:row>
      <xdr:rowOff>142875</xdr:rowOff>
    </xdr:to>
    <xdr:sp macro="" textlink="">
      <xdr:nvSpPr>
        <xdr:cNvPr id="2" name="AutoShape 29">
          <a:extLst>
            <a:ext uri="{FF2B5EF4-FFF2-40B4-BE49-F238E27FC236}">
              <a16:creationId xmlns:a16="http://schemas.microsoft.com/office/drawing/2014/main" id="{00000000-0008-0000-1000-000002000000}"/>
            </a:ext>
          </a:extLst>
        </xdr:cNvPr>
        <xdr:cNvSpPr>
          <a:spLocks/>
        </xdr:cNvSpPr>
      </xdr:nvSpPr>
      <xdr:spPr bwMode="auto">
        <a:xfrm>
          <a:off x="2990850" y="2895600"/>
          <a:ext cx="57150" cy="266700"/>
        </a:xfrm>
        <a:prstGeom prst="rightBrace">
          <a:avLst>
            <a:gd name="adj1" fmla="val 38889"/>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oneCellAnchor>
    <xdr:from>
      <xdr:col>6</xdr:col>
      <xdr:colOff>266700</xdr:colOff>
      <xdr:row>19</xdr:row>
      <xdr:rowOff>95250</xdr:rowOff>
    </xdr:from>
    <xdr:ext cx="111031" cy="159801"/>
    <xdr:sp macro="" textlink="">
      <xdr:nvSpPr>
        <xdr:cNvPr id="3" name="Text Box 30">
          <a:extLst>
            <a:ext uri="{FF2B5EF4-FFF2-40B4-BE49-F238E27FC236}">
              <a16:creationId xmlns:a16="http://schemas.microsoft.com/office/drawing/2014/main" id="{00000000-0008-0000-1000-000003000000}"/>
            </a:ext>
          </a:extLst>
        </xdr:cNvPr>
        <xdr:cNvSpPr txBox="1">
          <a:spLocks noChangeArrowheads="1"/>
        </xdr:cNvSpPr>
      </xdr:nvSpPr>
      <xdr:spPr bwMode="auto">
        <a:xfrm>
          <a:off x="3057525" y="2952750"/>
          <a:ext cx="111031" cy="159801"/>
        </a:xfrm>
        <a:prstGeom prst="rect">
          <a:avLst/>
        </a:prstGeom>
        <a:noFill/>
        <a:ln>
          <a:noFill/>
        </a:ln>
      </xdr:spPr>
      <xdr:txBody>
        <a:bodyPr wrap="none" lIns="18288" tIns="22860" rIns="0" bIns="0" anchor="t" upright="1">
          <a:spAutoFit/>
        </a:bodyPr>
        <a:lstStyle/>
        <a:p>
          <a:pPr algn="l" rtl="0">
            <a:defRPr sz="1000"/>
          </a:pPr>
          <a:r>
            <a:rPr lang="es-VE" sz="800" b="0" i="1" u="none" strike="noStrike" baseline="0">
              <a:solidFill>
                <a:srgbClr val="000000"/>
              </a:solidFill>
              <a:latin typeface="Arial"/>
              <a:cs typeface="Arial"/>
            </a:rPr>
            <a:t>D</a:t>
          </a:r>
        </a:p>
      </xdr:txBody>
    </xdr:sp>
    <xdr:clientData/>
  </xdr:oneCellAnchor>
  <xdr:twoCellAnchor>
    <xdr:from>
      <xdr:col>7</xdr:col>
      <xdr:colOff>114300</xdr:colOff>
      <xdr:row>24</xdr:row>
      <xdr:rowOff>28575</xdr:rowOff>
    </xdr:from>
    <xdr:to>
      <xdr:col>7</xdr:col>
      <xdr:colOff>1400175</xdr:colOff>
      <xdr:row>24</xdr:row>
      <xdr:rowOff>28575</xdr:rowOff>
    </xdr:to>
    <xdr:cxnSp macro="">
      <xdr:nvCxnSpPr>
        <xdr:cNvPr id="7" name="Conector recto de flecha 6">
          <a:extLst>
            <a:ext uri="{FF2B5EF4-FFF2-40B4-BE49-F238E27FC236}">
              <a16:creationId xmlns:a16="http://schemas.microsoft.com/office/drawing/2014/main" id="{00000000-0008-0000-1000-000007000000}"/>
            </a:ext>
          </a:extLst>
        </xdr:cNvPr>
        <xdr:cNvCxnSpPr/>
      </xdr:nvCxnSpPr>
      <xdr:spPr>
        <a:xfrm>
          <a:off x="5391150" y="4495800"/>
          <a:ext cx="1285875"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809625</xdr:colOff>
      <xdr:row>20</xdr:row>
      <xdr:rowOff>38100</xdr:rowOff>
    </xdr:from>
    <xdr:to>
      <xdr:col>8</xdr:col>
      <xdr:colOff>809625</xdr:colOff>
      <xdr:row>22</xdr:row>
      <xdr:rowOff>152400</xdr:rowOff>
    </xdr:to>
    <xdr:cxnSp macro="">
      <xdr:nvCxnSpPr>
        <xdr:cNvPr id="12" name="Conector recto de flecha 11">
          <a:extLst>
            <a:ext uri="{FF2B5EF4-FFF2-40B4-BE49-F238E27FC236}">
              <a16:creationId xmlns:a16="http://schemas.microsoft.com/office/drawing/2014/main" id="{00000000-0008-0000-1000-00000C000000}"/>
            </a:ext>
          </a:extLst>
        </xdr:cNvPr>
        <xdr:cNvCxnSpPr/>
      </xdr:nvCxnSpPr>
      <xdr:spPr>
        <a:xfrm>
          <a:off x="7772400" y="3743325"/>
          <a:ext cx="0" cy="49530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7</xdr:col>
          <xdr:colOff>447675</xdr:colOff>
          <xdr:row>31</xdr:row>
          <xdr:rowOff>47625</xdr:rowOff>
        </xdr:from>
        <xdr:to>
          <xdr:col>9</xdr:col>
          <xdr:colOff>123825</xdr:colOff>
          <xdr:row>36</xdr:row>
          <xdr:rowOff>114300</xdr:rowOff>
        </xdr:to>
        <xdr:sp macro="" textlink="">
          <xdr:nvSpPr>
            <xdr:cNvPr id="13317" name="Group Box 5" hidden="1">
              <a:extLst>
                <a:ext uri="{63B3BB69-23CF-44E3-9099-C40C66FF867C}">
                  <a14:compatExt spid="_x0000_s13317"/>
                </a:ext>
                <a:ext uri="{FF2B5EF4-FFF2-40B4-BE49-F238E27FC236}">
                  <a16:creationId xmlns:a16="http://schemas.microsoft.com/office/drawing/2014/main" id="{00000000-0008-0000-1000-000005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CO" sz="800" b="0" i="0" u="none" strike="noStrike" baseline="0">
                  <a:solidFill>
                    <a:srgbClr val="000000"/>
                  </a:solidFill>
                  <a:latin typeface="Segoe UI"/>
                  <a:cs typeface="Segoe UI"/>
                </a:rPr>
                <a:t>Corriente de falla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647700</xdr:colOff>
          <xdr:row>32</xdr:row>
          <xdr:rowOff>95250</xdr:rowOff>
        </xdr:from>
        <xdr:to>
          <xdr:col>8</xdr:col>
          <xdr:colOff>942975</xdr:colOff>
          <xdr:row>33</xdr:row>
          <xdr:rowOff>123825</xdr:rowOff>
        </xdr:to>
        <xdr:sp macro="" textlink="">
          <xdr:nvSpPr>
            <xdr:cNvPr id="13318" name="Check Box 6" hidden="1">
              <a:extLst>
                <a:ext uri="{63B3BB69-23CF-44E3-9099-C40C66FF867C}">
                  <a14:compatExt spid="_x0000_s13318"/>
                </a:ext>
                <a:ext uri="{FF2B5EF4-FFF2-40B4-BE49-F238E27FC236}">
                  <a16:creationId xmlns:a16="http://schemas.microsoft.com/office/drawing/2014/main" id="{00000000-0008-0000-1000-000006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Insertar corriente simetrica de falla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647700</xdr:colOff>
          <xdr:row>34</xdr:row>
          <xdr:rowOff>28575</xdr:rowOff>
        </xdr:from>
        <xdr:to>
          <xdr:col>8</xdr:col>
          <xdr:colOff>942975</xdr:colOff>
          <xdr:row>35</xdr:row>
          <xdr:rowOff>57150</xdr:rowOff>
        </xdr:to>
        <xdr:sp macro="" textlink="">
          <xdr:nvSpPr>
            <xdr:cNvPr id="13319" name="Check Box 7" hidden="1">
              <a:extLst>
                <a:ext uri="{63B3BB69-23CF-44E3-9099-C40C66FF867C}">
                  <a14:compatExt spid="_x0000_s13319"/>
                </a:ext>
                <a:ext uri="{FF2B5EF4-FFF2-40B4-BE49-F238E27FC236}">
                  <a16:creationId xmlns:a16="http://schemas.microsoft.com/office/drawing/2014/main" id="{00000000-0008-0000-1000-000007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Insertar impedancias a tener en cuenta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0</xdr:colOff>
          <xdr:row>6</xdr:row>
          <xdr:rowOff>152400</xdr:rowOff>
        </xdr:from>
        <xdr:to>
          <xdr:col>38</xdr:col>
          <xdr:colOff>609600</xdr:colOff>
          <xdr:row>11</xdr:row>
          <xdr:rowOff>85725</xdr:rowOff>
        </xdr:to>
        <xdr:sp macro="" textlink="">
          <xdr:nvSpPr>
            <xdr:cNvPr id="13321" name="Group Box 9" hidden="1">
              <a:extLst>
                <a:ext uri="{63B3BB69-23CF-44E3-9099-C40C66FF867C}">
                  <a14:compatExt spid="_x0000_s13321"/>
                </a:ext>
                <a:ext uri="{FF2B5EF4-FFF2-40B4-BE49-F238E27FC236}">
                  <a16:creationId xmlns:a16="http://schemas.microsoft.com/office/drawing/2014/main" id="{00000000-0008-0000-1000-0000093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CO" sz="800" b="0" i="0" u="none" strike="noStrike" baseline="0">
                  <a:solidFill>
                    <a:srgbClr val="000000"/>
                  </a:solidFill>
                  <a:latin typeface="Segoe UI"/>
                  <a:cs typeface="Segoe UI"/>
                </a:rPr>
                <a:t>Tipos de Fallas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190500</xdr:colOff>
          <xdr:row>9</xdr:row>
          <xdr:rowOff>123825</xdr:rowOff>
        </xdr:from>
        <xdr:to>
          <xdr:col>38</xdr:col>
          <xdr:colOff>238125</xdr:colOff>
          <xdr:row>10</xdr:row>
          <xdr:rowOff>152400</xdr:rowOff>
        </xdr:to>
        <xdr:sp macro="" textlink="">
          <xdr:nvSpPr>
            <xdr:cNvPr id="13326" name="Option Button 14" hidden="1">
              <a:extLst>
                <a:ext uri="{63B3BB69-23CF-44E3-9099-C40C66FF867C}">
                  <a14:compatExt spid="_x0000_s13326"/>
                </a:ext>
                <a:ext uri="{FF2B5EF4-FFF2-40B4-BE49-F238E27FC236}">
                  <a16:creationId xmlns:a16="http://schemas.microsoft.com/office/drawing/2014/main" id="{00000000-0008-0000-1000-00000E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L-L-T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37</xdr:col>
          <xdr:colOff>209550</xdr:colOff>
          <xdr:row>8</xdr:row>
          <xdr:rowOff>47625</xdr:rowOff>
        </xdr:from>
        <xdr:to>
          <xdr:col>38</xdr:col>
          <xdr:colOff>257175</xdr:colOff>
          <xdr:row>9</xdr:row>
          <xdr:rowOff>76200</xdr:rowOff>
        </xdr:to>
        <xdr:sp macro="" textlink="">
          <xdr:nvSpPr>
            <xdr:cNvPr id="13327" name="Option Button 15" hidden="1">
              <a:extLst>
                <a:ext uri="{63B3BB69-23CF-44E3-9099-C40C66FF867C}">
                  <a14:compatExt spid="_x0000_s13327"/>
                </a:ext>
                <a:ext uri="{FF2B5EF4-FFF2-40B4-BE49-F238E27FC236}">
                  <a16:creationId xmlns:a16="http://schemas.microsoft.com/office/drawing/2014/main" id="{00000000-0008-0000-1000-00000F3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s-CO" sz="800" b="0" i="0" u="none" strike="noStrike" baseline="0">
                  <a:solidFill>
                    <a:srgbClr val="000000"/>
                  </a:solidFill>
                  <a:latin typeface="Segoe UI"/>
                  <a:cs typeface="Segoe UI"/>
                </a:rPr>
                <a:t>L-T</a:t>
              </a:r>
            </a:p>
          </xdr:txBody>
        </xdr:sp>
        <xdr:clientData/>
      </xdr:twoCellAnchor>
    </mc:Choice>
    <mc:Fallback/>
  </mc:AlternateContent>
  <xdr:twoCellAnchor>
    <xdr:from>
      <xdr:col>5</xdr:col>
      <xdr:colOff>342900</xdr:colOff>
      <xdr:row>52</xdr:row>
      <xdr:rowOff>47625</xdr:rowOff>
    </xdr:from>
    <xdr:to>
      <xdr:col>5</xdr:col>
      <xdr:colOff>457200</xdr:colOff>
      <xdr:row>54</xdr:row>
      <xdr:rowOff>123825</xdr:rowOff>
    </xdr:to>
    <xdr:sp macro="" textlink="">
      <xdr:nvSpPr>
        <xdr:cNvPr id="14" name="AutoShape 27">
          <a:extLst>
            <a:ext uri="{FF2B5EF4-FFF2-40B4-BE49-F238E27FC236}">
              <a16:creationId xmlns:a16="http://schemas.microsoft.com/office/drawing/2014/main" id="{00000000-0008-0000-1000-00000E000000}"/>
            </a:ext>
          </a:extLst>
        </xdr:cNvPr>
        <xdr:cNvSpPr>
          <a:spLocks/>
        </xdr:cNvSpPr>
      </xdr:nvSpPr>
      <xdr:spPr bwMode="auto">
        <a:xfrm>
          <a:off x="3133725" y="7334250"/>
          <a:ext cx="114300" cy="400050"/>
        </a:xfrm>
        <a:prstGeom prst="rightBrace">
          <a:avLst>
            <a:gd name="adj1" fmla="val 29167"/>
            <a:gd name="adj2" fmla="val 50000"/>
          </a:avLst>
        </a:prstGeom>
        <a:noFill/>
        <a:ln w="9525">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3</xdr:col>
          <xdr:colOff>171450</xdr:colOff>
          <xdr:row>9</xdr:row>
          <xdr:rowOff>19050</xdr:rowOff>
        </xdr:from>
        <xdr:to>
          <xdr:col>4</xdr:col>
          <xdr:colOff>571500</xdr:colOff>
          <xdr:row>10</xdr:row>
          <xdr:rowOff>9525</xdr:rowOff>
        </xdr:to>
        <xdr:sp macro="" textlink="">
          <xdr:nvSpPr>
            <xdr:cNvPr id="13331" name="Scroll Bar 19" hidden="1">
              <a:extLst>
                <a:ext uri="{63B3BB69-23CF-44E3-9099-C40C66FF867C}">
                  <a14:compatExt spid="_x0000_s13331"/>
                </a:ext>
                <a:ext uri="{FF2B5EF4-FFF2-40B4-BE49-F238E27FC236}">
                  <a16:creationId xmlns:a16="http://schemas.microsoft.com/office/drawing/2014/main" id="{00000000-0008-0000-1000-0000133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twoCellAnchor>
    <xdr:from>
      <xdr:col>5</xdr:col>
      <xdr:colOff>523875</xdr:colOff>
      <xdr:row>52</xdr:row>
      <xdr:rowOff>142875</xdr:rowOff>
    </xdr:from>
    <xdr:to>
      <xdr:col>7</xdr:col>
      <xdr:colOff>95250</xdr:colOff>
      <xdr:row>54</xdr:row>
      <xdr:rowOff>76200</xdr:rowOff>
    </xdr:to>
    <xdr:sp macro="" textlink="">
      <xdr:nvSpPr>
        <xdr:cNvPr id="15" name="Text Box 40">
          <a:extLst>
            <a:ext uri="{FF2B5EF4-FFF2-40B4-BE49-F238E27FC236}">
              <a16:creationId xmlns:a16="http://schemas.microsoft.com/office/drawing/2014/main" id="{00000000-0008-0000-1000-00000F000000}"/>
            </a:ext>
          </a:extLst>
        </xdr:cNvPr>
        <xdr:cNvSpPr txBox="1">
          <a:spLocks noChangeArrowheads="1"/>
        </xdr:cNvSpPr>
      </xdr:nvSpPr>
      <xdr:spPr bwMode="auto">
        <a:xfrm>
          <a:off x="4391025" y="10010775"/>
          <a:ext cx="1771650" cy="314325"/>
        </a:xfrm>
        <a:prstGeom prst="rect">
          <a:avLst/>
        </a:prstGeom>
        <a:noFill/>
        <a:ln>
          <a:noFill/>
        </a:ln>
      </xdr:spPr>
      <xdr:txBody>
        <a:bodyPr vertOverflow="clip" wrap="square" lIns="27432" tIns="22860" rIns="0" bIns="0" anchor="t" upright="1"/>
        <a:lstStyle/>
        <a:p>
          <a:pPr algn="l" rtl="0">
            <a:defRPr sz="1000"/>
          </a:pPr>
          <a:r>
            <a:rPr lang="es-VE" sz="800" b="0" i="1" u="none" strike="noStrike" baseline="0">
              <a:solidFill>
                <a:srgbClr val="000000"/>
              </a:solidFill>
              <a:latin typeface="Arial"/>
              <a:cs typeface="Arial"/>
            </a:rPr>
            <a:t>Características mínimas del conductor de tierra</a:t>
          </a:r>
        </a:p>
      </xdr:txBody>
    </xdr:sp>
    <xdr:clientData/>
  </xdr:twoCellAnchor>
  <xdr:twoCellAnchor editAs="oneCell">
    <xdr:from>
      <xdr:col>68</xdr:col>
      <xdr:colOff>333375</xdr:colOff>
      <xdr:row>78</xdr:row>
      <xdr:rowOff>0</xdr:rowOff>
    </xdr:from>
    <xdr:to>
      <xdr:col>73</xdr:col>
      <xdr:colOff>591118</xdr:colOff>
      <xdr:row>109</xdr:row>
      <xdr:rowOff>96100</xdr:rowOff>
    </xdr:to>
    <xdr:pic>
      <xdr:nvPicPr>
        <xdr:cNvPr id="4" name="Imagen 3" descr="Recorte de pantalla">
          <a:extLst>
            <a:ext uri="{FF2B5EF4-FFF2-40B4-BE49-F238E27FC236}">
              <a16:creationId xmlns:a16="http://schemas.microsoft.com/office/drawing/2014/main" id="{00000000-0008-0000-1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54530625" y="17249775"/>
          <a:ext cx="4067743" cy="6087325"/>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Personal/Desktop/istalaciones/Puesta%20tierra.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lectrodoH"/>
      <sheetName val="Electrodo"/>
      <sheetName val="Main"/>
      <sheetName val="1M"/>
      <sheetName val="Diagrama"/>
      <sheetName val="I0"/>
      <sheetName val="IG"/>
      <sheetName val="Conductores"/>
      <sheetName val="Hoja2"/>
      <sheetName val="Varios"/>
      <sheetName val="Tabla10"/>
      <sheetName val="Constantes del Material"/>
      <sheetName val="Hoja1"/>
    </sheetNames>
    <sheetDataSet>
      <sheetData sheetId="0" refreshError="1"/>
      <sheetData sheetId="1" refreshError="1"/>
      <sheetData sheetId="2" refreshError="1"/>
      <sheetData sheetId="3">
        <row r="9">
          <cell r="E9">
            <v>3000</v>
          </cell>
        </row>
        <row r="14">
          <cell r="E14">
            <v>10</v>
          </cell>
        </row>
        <row r="15">
          <cell r="E15">
            <v>10</v>
          </cell>
          <cell r="I15">
            <v>2.4</v>
          </cell>
        </row>
        <row r="17">
          <cell r="I17">
            <v>12</v>
          </cell>
        </row>
        <row r="26">
          <cell r="E26">
            <v>0.5</v>
          </cell>
        </row>
        <row r="51">
          <cell r="E51">
            <v>0.87478260869565216</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theme/themeOverride2.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6.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9.xml"/><Relationship Id="rId1" Type="http://schemas.openxmlformats.org/officeDocument/2006/relationships/printerSettings" Target="../printerSettings/printerSettings6.bin"/><Relationship Id="rId6" Type="http://schemas.openxmlformats.org/officeDocument/2006/relationships/ctrlProp" Target="../ctrlProps/ctrlProp8.xml"/><Relationship Id="rId11" Type="http://schemas.openxmlformats.org/officeDocument/2006/relationships/comments" Target="../comments1.xml"/><Relationship Id="rId5" Type="http://schemas.openxmlformats.org/officeDocument/2006/relationships/ctrlProp" Target="../ctrlProps/ctrlProp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
  <sheetViews>
    <sheetView workbookViewId="0">
      <selection activeCell="F18" sqref="F18"/>
    </sheetView>
  </sheetViews>
  <sheetFormatPr baseColWidth="10" defaultRowHeight="15"/>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2:T101"/>
  <sheetViews>
    <sheetView tabSelected="1" topLeftCell="A10" workbookViewId="0">
      <selection activeCell="J35" sqref="J35"/>
    </sheetView>
  </sheetViews>
  <sheetFormatPr baseColWidth="10" defaultRowHeight="15"/>
  <cols>
    <col min="1" max="1" width="15.28515625" customWidth="1"/>
    <col min="2" max="2" width="18.85546875" customWidth="1"/>
    <col min="10" max="10" width="15.140625" customWidth="1"/>
    <col min="12" max="12" width="19.5703125" customWidth="1"/>
    <col min="13" max="13" width="11.85546875" bestFit="1" customWidth="1"/>
    <col min="16" max="16" width="18.5703125" customWidth="1"/>
    <col min="17" max="17" width="3.28515625" customWidth="1"/>
    <col min="18" max="18" width="3.5703125" customWidth="1"/>
    <col min="19" max="19" width="3.42578125" customWidth="1"/>
    <col min="20" max="20" width="17.42578125" customWidth="1"/>
    <col min="22" max="22" width="14.140625" customWidth="1"/>
  </cols>
  <sheetData>
    <row r="2" spans="1:20">
      <c r="A2" s="331" t="s">
        <v>18</v>
      </c>
      <c r="B2" s="331"/>
      <c r="C2" s="331"/>
      <c r="D2" s="331"/>
      <c r="E2" s="331"/>
      <c r="F2" s="331"/>
      <c r="G2" s="331"/>
      <c r="H2" s="331"/>
      <c r="I2" s="331"/>
      <c r="J2" s="331"/>
      <c r="K2" s="331"/>
      <c r="L2" s="331"/>
      <c r="M2" s="331"/>
      <c r="N2" s="331"/>
      <c r="O2" s="331"/>
      <c r="P2" s="331"/>
      <c r="Q2" s="331"/>
      <c r="R2" s="331"/>
      <c r="S2" s="331"/>
      <c r="T2" s="331"/>
    </row>
    <row r="3" spans="1:20">
      <c r="A3" s="334" t="s">
        <v>19</v>
      </c>
      <c r="B3" s="334" t="s">
        <v>25</v>
      </c>
      <c r="C3" s="328" t="s">
        <v>0</v>
      </c>
      <c r="D3" s="330"/>
      <c r="E3" s="328" t="s">
        <v>1</v>
      </c>
      <c r="F3" s="330"/>
      <c r="G3" s="3" t="s">
        <v>2</v>
      </c>
      <c r="H3" s="328" t="s">
        <v>3</v>
      </c>
      <c r="I3" s="330"/>
      <c r="J3" s="3" t="s">
        <v>4</v>
      </c>
      <c r="K3" s="326" t="s">
        <v>20</v>
      </c>
      <c r="L3" s="326" t="s">
        <v>21</v>
      </c>
      <c r="M3" s="336" t="s">
        <v>22</v>
      </c>
      <c r="N3" s="336" t="s">
        <v>23</v>
      </c>
      <c r="O3" s="336" t="s">
        <v>22</v>
      </c>
      <c r="P3" s="326" t="s">
        <v>24</v>
      </c>
      <c r="Q3" s="328" t="s">
        <v>5</v>
      </c>
      <c r="R3" s="329"/>
      <c r="S3" s="330"/>
      <c r="T3" s="332" t="s">
        <v>15</v>
      </c>
    </row>
    <row r="4" spans="1:20">
      <c r="A4" s="335"/>
      <c r="B4" s="335"/>
      <c r="C4" s="4" t="s">
        <v>6</v>
      </c>
      <c r="D4" s="4" t="s">
        <v>7</v>
      </c>
      <c r="E4" s="4" t="s">
        <v>8</v>
      </c>
      <c r="F4" s="4" t="s">
        <v>9</v>
      </c>
      <c r="G4" s="4" t="s">
        <v>10</v>
      </c>
      <c r="H4" s="4" t="s">
        <v>11</v>
      </c>
      <c r="I4" s="4" t="s">
        <v>26</v>
      </c>
      <c r="J4" s="4" t="s">
        <v>27</v>
      </c>
      <c r="K4" s="327"/>
      <c r="L4" s="327"/>
      <c r="M4" s="335"/>
      <c r="N4" s="335"/>
      <c r="O4" s="335"/>
      <c r="P4" s="327"/>
      <c r="Q4" s="5" t="s">
        <v>12</v>
      </c>
      <c r="R4" s="5" t="s">
        <v>13</v>
      </c>
      <c r="S4" s="5" t="s">
        <v>14</v>
      </c>
      <c r="T4" s="333"/>
    </row>
    <row r="5" spans="1:20">
      <c r="A5" s="2">
        <v>1</v>
      </c>
      <c r="B5" s="2">
        <v>16</v>
      </c>
      <c r="C5" s="2"/>
      <c r="D5" s="2"/>
      <c r="E5" s="2">
        <f>(B5*40)+(C5*162)+(D5*162)</f>
        <v>640</v>
      </c>
      <c r="F5" s="2">
        <f>E5/0.9</f>
        <v>711.11111111111109</v>
      </c>
      <c r="G5" s="2">
        <v>120</v>
      </c>
      <c r="H5" s="2">
        <f>F5/G5</f>
        <v>5.9259259259259256</v>
      </c>
      <c r="I5" s="2">
        <f>H5*1.15</f>
        <v>6.814814814814814</v>
      </c>
      <c r="J5" s="2">
        <f>IF(I5&lt;20,20,IF(I5&lt;30,30,IF(I5&lt;40,40,1)))</f>
        <v>20</v>
      </c>
      <c r="K5" s="2">
        <v>12</v>
      </c>
      <c r="L5" s="2">
        <v>4</v>
      </c>
      <c r="M5" s="2">
        <f>VLOOKUP(K5,'Calibre-Ductos'!B2:E45,4,(FALSE))</f>
        <v>16.8</v>
      </c>
      <c r="N5" s="2">
        <v>0.5</v>
      </c>
      <c r="O5" s="2">
        <f>VLOOKUP(N5,'Calibre-Ductos'!I3:P11,7,)</f>
        <v>263</v>
      </c>
      <c r="P5" s="11">
        <f>((L5*M5)/O5)*100</f>
        <v>25.551330798479089</v>
      </c>
      <c r="Q5" s="2" t="s">
        <v>16</v>
      </c>
      <c r="R5" s="2"/>
      <c r="S5" s="2"/>
      <c r="T5" s="2" t="s">
        <v>154</v>
      </c>
    </row>
    <row r="6" spans="1:20">
      <c r="A6" s="2">
        <v>2</v>
      </c>
      <c r="B6" s="2"/>
      <c r="C6" s="2">
        <v>3</v>
      </c>
      <c r="D6" s="2">
        <v>1</v>
      </c>
      <c r="E6" s="2">
        <f t="shared" ref="E6:E14" si="0">(B6*40)+(C6*162)+(D6*162)</f>
        <v>648</v>
      </c>
      <c r="F6" s="2">
        <f t="shared" ref="F6:F14" si="1">E6/0.9</f>
        <v>720</v>
      </c>
      <c r="G6" s="2">
        <v>120</v>
      </c>
      <c r="H6" s="2">
        <f t="shared" ref="H6:H15" si="2">F6/G6</f>
        <v>6</v>
      </c>
      <c r="I6" s="2">
        <f t="shared" ref="I6:I15" si="3">H6*1.15</f>
        <v>6.8999999999999995</v>
      </c>
      <c r="J6" s="2">
        <f t="shared" ref="J6:J14" si="4">IF(I6&lt;20,20,IF(I6&lt;30,30,IF(I6&lt;40,40,1)))</f>
        <v>20</v>
      </c>
      <c r="K6" s="2">
        <v>12</v>
      </c>
      <c r="L6" s="2">
        <v>3</v>
      </c>
      <c r="M6" s="2">
        <f>VLOOKUP(K6,'Calibre-Ductos'!B2:E45,4,(FALSE))</f>
        <v>16.8</v>
      </c>
      <c r="N6" s="2">
        <v>0.5</v>
      </c>
      <c r="O6" s="2">
        <f>VLOOKUP(N6,'Calibre-Ductos'!I3:P11,7,)</f>
        <v>263</v>
      </c>
      <c r="P6" s="11">
        <f t="shared" ref="P6:P15" si="5">((L6*M6)/O6)*100</f>
        <v>19.163498098859318</v>
      </c>
      <c r="Q6" s="2" t="s">
        <v>16</v>
      </c>
      <c r="R6" s="2"/>
      <c r="S6" s="2"/>
      <c r="T6" s="2" t="s">
        <v>163</v>
      </c>
    </row>
    <row r="7" spans="1:20">
      <c r="A7" s="2">
        <v>3</v>
      </c>
      <c r="B7" s="2"/>
      <c r="C7" s="2">
        <v>9</v>
      </c>
      <c r="D7" s="2">
        <v>1</v>
      </c>
      <c r="E7" s="2">
        <f t="shared" si="0"/>
        <v>1620</v>
      </c>
      <c r="F7" s="2">
        <f t="shared" si="1"/>
        <v>1800</v>
      </c>
      <c r="G7" s="2">
        <v>120</v>
      </c>
      <c r="H7" s="2">
        <f t="shared" si="2"/>
        <v>15</v>
      </c>
      <c r="I7" s="2">
        <f t="shared" si="3"/>
        <v>17.25</v>
      </c>
      <c r="J7" s="2">
        <f t="shared" si="4"/>
        <v>20</v>
      </c>
      <c r="K7" s="2">
        <v>12</v>
      </c>
      <c r="L7" s="2">
        <v>3</v>
      </c>
      <c r="M7" s="2">
        <f>VLOOKUP(K7,'Calibre-Ductos'!B2:E45,4,(FALSE))</f>
        <v>16.8</v>
      </c>
      <c r="N7" s="2">
        <v>0.5</v>
      </c>
      <c r="O7" s="2">
        <f>VLOOKUP(N7,'Calibre-Ductos'!I3:P11,7,)</f>
        <v>263</v>
      </c>
      <c r="P7" s="11">
        <f t="shared" si="5"/>
        <v>19.163498098859318</v>
      </c>
      <c r="Q7" s="2" t="s">
        <v>16</v>
      </c>
      <c r="R7" s="2"/>
      <c r="S7" s="2"/>
      <c r="T7" s="2" t="s">
        <v>158</v>
      </c>
    </row>
    <row r="8" spans="1:20">
      <c r="A8" s="2">
        <v>4</v>
      </c>
      <c r="B8" s="2"/>
      <c r="C8" s="2">
        <v>6</v>
      </c>
      <c r="D8" s="2">
        <v>1</v>
      </c>
      <c r="E8" s="2">
        <f t="shared" si="0"/>
        <v>1134</v>
      </c>
      <c r="F8" s="2">
        <f t="shared" si="1"/>
        <v>1260</v>
      </c>
      <c r="G8" s="2">
        <v>120</v>
      </c>
      <c r="H8" s="2">
        <f t="shared" si="2"/>
        <v>10.5</v>
      </c>
      <c r="I8" s="2">
        <f t="shared" si="3"/>
        <v>12.074999999999999</v>
      </c>
      <c r="J8" s="2">
        <f t="shared" si="4"/>
        <v>20</v>
      </c>
      <c r="K8" s="2">
        <v>12</v>
      </c>
      <c r="L8" s="2">
        <v>3</v>
      </c>
      <c r="M8" s="2">
        <f>VLOOKUP(K8,'Calibre-Ductos'!B2:E45,4,(FALSE))</f>
        <v>16.8</v>
      </c>
      <c r="N8" s="2">
        <v>0.5</v>
      </c>
      <c r="O8" s="2">
        <f>VLOOKUP(N8,'Calibre-Ductos'!I3:P11,7,)</f>
        <v>263</v>
      </c>
      <c r="P8" s="11">
        <f t="shared" si="5"/>
        <v>19.163498098859318</v>
      </c>
      <c r="Q8" s="2" t="s">
        <v>16</v>
      </c>
      <c r="R8" s="2"/>
      <c r="S8" s="2"/>
      <c r="T8" s="2" t="s">
        <v>159</v>
      </c>
    </row>
    <row r="9" spans="1:20">
      <c r="A9" s="2">
        <v>5</v>
      </c>
      <c r="B9" s="2"/>
      <c r="C9" s="2"/>
      <c r="D9" s="2">
        <v>1</v>
      </c>
      <c r="E9" s="2">
        <v>1000</v>
      </c>
      <c r="F9" s="2">
        <f t="shared" si="1"/>
        <v>1111.1111111111111</v>
      </c>
      <c r="G9" s="2">
        <v>120</v>
      </c>
      <c r="H9" s="2">
        <f t="shared" si="2"/>
        <v>9.2592592592592595</v>
      </c>
      <c r="I9" s="2">
        <f t="shared" si="3"/>
        <v>10.648148148148147</v>
      </c>
      <c r="J9" s="2">
        <f t="shared" si="4"/>
        <v>20</v>
      </c>
      <c r="K9" s="2"/>
      <c r="L9" s="2"/>
      <c r="M9" s="2" t="e">
        <f>VLOOKUP(K9,'Calibre-Ductos'!B2:E45,4,(FALSE))</f>
        <v>#N/A</v>
      </c>
      <c r="N9" s="2"/>
      <c r="O9" s="2" t="e">
        <f>VLOOKUP(N9,'Calibre-Ductos'!I3:P11,7,)</f>
        <v>#N/A</v>
      </c>
      <c r="P9" s="11" t="e">
        <f t="shared" si="5"/>
        <v>#N/A</v>
      </c>
      <c r="Q9" s="2" t="s">
        <v>16</v>
      </c>
      <c r="R9" s="2"/>
      <c r="S9" s="2"/>
      <c r="T9" s="2" t="s">
        <v>162</v>
      </c>
    </row>
    <row r="10" spans="1:20">
      <c r="A10" s="2">
        <v>6</v>
      </c>
      <c r="B10" s="2"/>
      <c r="C10" s="2"/>
      <c r="D10" s="2"/>
      <c r="E10" s="2">
        <f t="shared" si="0"/>
        <v>0</v>
      </c>
      <c r="F10" s="2">
        <f t="shared" si="1"/>
        <v>0</v>
      </c>
      <c r="G10" s="2">
        <v>120</v>
      </c>
      <c r="H10" s="2">
        <f t="shared" si="2"/>
        <v>0</v>
      </c>
      <c r="I10" s="2">
        <f t="shared" si="3"/>
        <v>0</v>
      </c>
      <c r="J10" s="2">
        <f t="shared" si="4"/>
        <v>20</v>
      </c>
      <c r="K10" s="2"/>
      <c r="L10" s="2"/>
      <c r="M10" s="2" t="e">
        <f>VLOOKUP(K10,'Calibre-Ductos'!B2:E45,4,(FALSE))</f>
        <v>#N/A</v>
      </c>
      <c r="N10" s="2"/>
      <c r="O10" s="2" t="e">
        <f>VLOOKUP(N10,'Calibre-Ductos'!I3:P11,7,)</f>
        <v>#N/A</v>
      </c>
      <c r="P10" s="11" t="e">
        <f t="shared" si="5"/>
        <v>#N/A</v>
      </c>
      <c r="Q10" s="2" t="s">
        <v>16</v>
      </c>
      <c r="R10" s="2"/>
      <c r="S10" s="2"/>
      <c r="T10" s="2"/>
    </row>
    <row r="11" spans="1:20">
      <c r="A11" s="2">
        <v>7</v>
      </c>
      <c r="B11" s="2"/>
      <c r="C11" s="2"/>
      <c r="D11" s="2"/>
      <c r="E11" s="2">
        <f t="shared" si="0"/>
        <v>0</v>
      </c>
      <c r="F11" s="2">
        <f t="shared" si="1"/>
        <v>0</v>
      </c>
      <c r="G11" s="2">
        <v>120</v>
      </c>
      <c r="H11" s="2">
        <f t="shared" si="2"/>
        <v>0</v>
      </c>
      <c r="I11" s="2">
        <f t="shared" si="3"/>
        <v>0</v>
      </c>
      <c r="J11" s="2">
        <f t="shared" si="4"/>
        <v>20</v>
      </c>
      <c r="K11" s="2"/>
      <c r="L11" s="2"/>
      <c r="M11" s="2" t="e">
        <f>VLOOKUP(K11,'Calibre-Ductos'!B2:E45,4,(FALSE))</f>
        <v>#N/A</v>
      </c>
      <c r="N11" s="2"/>
      <c r="O11" s="2" t="e">
        <f>VLOOKUP(N11,'Calibre-Ductos'!I3:P11,7,)</f>
        <v>#N/A</v>
      </c>
      <c r="P11" s="11" t="e">
        <f t="shared" si="5"/>
        <v>#N/A</v>
      </c>
      <c r="Q11" s="2" t="s">
        <v>16</v>
      </c>
      <c r="R11" s="2"/>
      <c r="S11" s="2"/>
      <c r="T11" s="2"/>
    </row>
    <row r="12" spans="1:20">
      <c r="A12" s="2">
        <v>8</v>
      </c>
      <c r="B12" s="2"/>
      <c r="C12" s="2"/>
      <c r="D12" s="2"/>
      <c r="E12" s="2">
        <f t="shared" si="0"/>
        <v>0</v>
      </c>
      <c r="F12" s="2">
        <f t="shared" si="1"/>
        <v>0</v>
      </c>
      <c r="G12" s="2">
        <v>120</v>
      </c>
      <c r="H12" s="2">
        <f t="shared" si="2"/>
        <v>0</v>
      </c>
      <c r="I12" s="2">
        <f t="shared" si="3"/>
        <v>0</v>
      </c>
      <c r="J12" s="2">
        <f t="shared" si="4"/>
        <v>20</v>
      </c>
      <c r="K12" s="2"/>
      <c r="L12" s="2"/>
      <c r="M12" s="2" t="e">
        <f>VLOOKUP(K12,'Calibre-Ductos'!B2:E45,4,(FALSE))</f>
        <v>#N/A</v>
      </c>
      <c r="N12" s="2"/>
      <c r="O12" s="2" t="e">
        <f>VLOOKUP(N12,'Calibre-Ductos'!I3:P11,7,)</f>
        <v>#N/A</v>
      </c>
      <c r="P12" s="11" t="e">
        <f t="shared" si="5"/>
        <v>#N/A</v>
      </c>
      <c r="Q12" s="2" t="s">
        <v>16</v>
      </c>
      <c r="R12" s="2"/>
      <c r="S12" s="2"/>
      <c r="T12" s="2"/>
    </row>
    <row r="13" spans="1:20">
      <c r="A13" s="2">
        <v>9</v>
      </c>
      <c r="B13" s="2"/>
      <c r="C13" s="2"/>
      <c r="D13" s="2"/>
      <c r="E13" s="2">
        <f t="shared" si="0"/>
        <v>0</v>
      </c>
      <c r="F13" s="2">
        <f t="shared" si="1"/>
        <v>0</v>
      </c>
      <c r="G13" s="2">
        <v>120</v>
      </c>
      <c r="H13" s="2">
        <f t="shared" si="2"/>
        <v>0</v>
      </c>
      <c r="I13" s="2">
        <f t="shared" si="3"/>
        <v>0</v>
      </c>
      <c r="J13" s="2">
        <f t="shared" si="4"/>
        <v>20</v>
      </c>
      <c r="K13" s="2"/>
      <c r="L13" s="2"/>
      <c r="M13" s="2" t="e">
        <f>VLOOKUP(K13,'Calibre-Ductos'!B2:E45,4,(FALSE))</f>
        <v>#N/A</v>
      </c>
      <c r="N13" s="2"/>
      <c r="O13" s="2" t="e">
        <f>VLOOKUP(N13,'Calibre-Ductos'!I3:P11,7,)</f>
        <v>#N/A</v>
      </c>
      <c r="P13" s="11" t="e">
        <f t="shared" si="5"/>
        <v>#N/A</v>
      </c>
      <c r="Q13" s="2" t="s">
        <v>16</v>
      </c>
      <c r="R13" s="2"/>
      <c r="S13" s="2"/>
      <c r="T13" s="2"/>
    </row>
    <row r="14" spans="1:20">
      <c r="A14" s="2">
        <v>10</v>
      </c>
      <c r="B14" s="2"/>
      <c r="C14" s="2"/>
      <c r="D14" s="2"/>
      <c r="E14" s="2">
        <f t="shared" si="0"/>
        <v>0</v>
      </c>
      <c r="F14" s="2">
        <f t="shared" si="1"/>
        <v>0</v>
      </c>
      <c r="G14" s="2">
        <v>120</v>
      </c>
      <c r="H14" s="2">
        <f t="shared" si="2"/>
        <v>0</v>
      </c>
      <c r="I14" s="2">
        <f t="shared" si="3"/>
        <v>0</v>
      </c>
      <c r="J14" s="2">
        <f t="shared" si="4"/>
        <v>20</v>
      </c>
      <c r="K14" s="2"/>
      <c r="L14" s="2"/>
      <c r="M14" s="2" t="e">
        <f>VLOOKUP(K14,'Calibre-Ductos'!B2:E45,4,(FALSE))</f>
        <v>#N/A</v>
      </c>
      <c r="N14" s="2"/>
      <c r="O14" s="2" t="e">
        <f>VLOOKUP(N14,'Calibre-Ductos'!I3:P11,7,)</f>
        <v>#N/A</v>
      </c>
      <c r="P14" s="11" t="e">
        <f t="shared" si="5"/>
        <v>#N/A</v>
      </c>
      <c r="Q14" s="2" t="s">
        <v>16</v>
      </c>
      <c r="R14" s="2"/>
      <c r="S14" s="2"/>
      <c r="T14" s="2"/>
    </row>
    <row r="15" spans="1:20">
      <c r="A15" s="2" t="s">
        <v>169</v>
      </c>
      <c r="B15" s="2"/>
      <c r="C15" s="2"/>
      <c r="D15" s="2"/>
      <c r="E15" s="2">
        <f>SUM(E5:E14)</f>
        <v>5042</v>
      </c>
      <c r="F15" s="2">
        <f t="shared" ref="F15:F16" si="6">E15/0.9</f>
        <v>5602.2222222222217</v>
      </c>
      <c r="G15" s="2">
        <v>120</v>
      </c>
      <c r="H15" s="2">
        <f t="shared" si="2"/>
        <v>46.685185185185183</v>
      </c>
      <c r="I15" s="2">
        <f t="shared" si="3"/>
        <v>53.687962962962956</v>
      </c>
      <c r="J15" s="2">
        <f>IF(I15&lt;20,20,IF(I15&lt;30,30,IF(I15&lt;40,40,50)))</f>
        <v>50</v>
      </c>
      <c r="K15" s="2">
        <v>8</v>
      </c>
      <c r="L15" s="2"/>
      <c r="M15" s="2">
        <f>VLOOKUP(K15,'Calibre-Ductos'!B2:E45,4,(FALSE))</f>
        <v>35.4</v>
      </c>
      <c r="N15" s="2"/>
      <c r="O15" s="2" t="e">
        <f>VLOOKUP(N15,'Calibre-Ductos'!I3:P11,7,)</f>
        <v>#N/A</v>
      </c>
      <c r="P15" s="11" t="e">
        <f t="shared" si="5"/>
        <v>#N/A</v>
      </c>
      <c r="Q15" s="2" t="s">
        <v>16</v>
      </c>
      <c r="R15" s="2"/>
      <c r="S15" s="2"/>
      <c r="T15" s="2"/>
    </row>
    <row r="16" spans="1:20">
      <c r="A16" s="337" t="s">
        <v>170</v>
      </c>
      <c r="B16" s="337"/>
      <c r="C16" s="337"/>
      <c r="D16" s="2">
        <v>16</v>
      </c>
      <c r="E16" s="2">
        <f>E15*D16</f>
        <v>80672</v>
      </c>
      <c r="F16" s="2">
        <f t="shared" si="6"/>
        <v>89635.555555555547</v>
      </c>
    </row>
    <row r="19" spans="1:20">
      <c r="A19" s="331" t="s">
        <v>18</v>
      </c>
      <c r="B19" s="331"/>
      <c r="C19" s="331"/>
      <c r="D19" s="331"/>
      <c r="E19" s="331"/>
      <c r="F19" s="331"/>
      <c r="G19" s="331"/>
      <c r="H19" s="331"/>
      <c r="I19" s="331"/>
      <c r="J19" s="331"/>
      <c r="K19" s="331"/>
      <c r="L19" s="331"/>
      <c r="M19" s="331"/>
      <c r="N19" s="331"/>
      <c r="O19" s="331"/>
      <c r="P19" s="331"/>
      <c r="Q19" s="331"/>
      <c r="R19" s="331"/>
      <c r="S19" s="331"/>
      <c r="T19" s="331"/>
    </row>
    <row r="20" spans="1:20">
      <c r="A20" s="334" t="s">
        <v>19</v>
      </c>
      <c r="B20" s="334" t="s">
        <v>25</v>
      </c>
      <c r="C20" s="328" t="s">
        <v>0</v>
      </c>
      <c r="D20" s="330"/>
      <c r="E20" s="328" t="s">
        <v>1</v>
      </c>
      <c r="F20" s="330"/>
      <c r="G20" s="3" t="s">
        <v>2</v>
      </c>
      <c r="H20" s="328" t="s">
        <v>3</v>
      </c>
      <c r="I20" s="330"/>
      <c r="J20" s="3" t="s">
        <v>4</v>
      </c>
      <c r="K20" s="326" t="s">
        <v>20</v>
      </c>
      <c r="L20" s="326" t="s">
        <v>21</v>
      </c>
      <c r="M20" s="336" t="s">
        <v>22</v>
      </c>
      <c r="N20" s="336" t="s">
        <v>23</v>
      </c>
      <c r="O20" s="336" t="s">
        <v>22</v>
      </c>
      <c r="P20" s="326" t="s">
        <v>24</v>
      </c>
      <c r="Q20" s="328" t="s">
        <v>5</v>
      </c>
      <c r="R20" s="329"/>
      <c r="S20" s="330"/>
      <c r="T20" s="332" t="s">
        <v>15</v>
      </c>
    </row>
    <row r="21" spans="1:20">
      <c r="A21" s="335"/>
      <c r="B21" s="335"/>
      <c r="C21" s="4" t="s">
        <v>6</v>
      </c>
      <c r="D21" s="4" t="s">
        <v>7</v>
      </c>
      <c r="E21" s="4" t="s">
        <v>8</v>
      </c>
      <c r="F21" s="4" t="s">
        <v>9</v>
      </c>
      <c r="G21" s="4" t="s">
        <v>10</v>
      </c>
      <c r="H21" s="4" t="s">
        <v>11</v>
      </c>
      <c r="I21" s="4" t="s">
        <v>26</v>
      </c>
      <c r="J21" s="4" t="s">
        <v>27</v>
      </c>
      <c r="K21" s="327"/>
      <c r="L21" s="327"/>
      <c r="M21" s="335"/>
      <c r="N21" s="335"/>
      <c r="O21" s="335"/>
      <c r="P21" s="327"/>
      <c r="Q21" s="5" t="s">
        <v>12</v>
      </c>
      <c r="R21" s="5" t="s">
        <v>13</v>
      </c>
      <c r="S21" s="5" t="s">
        <v>14</v>
      </c>
      <c r="T21" s="333"/>
    </row>
    <row r="22" spans="1:20">
      <c r="A22" s="2">
        <v>1</v>
      </c>
      <c r="B22" s="2">
        <v>21</v>
      </c>
      <c r="C22" s="2"/>
      <c r="D22" s="2"/>
      <c r="E22" s="2">
        <f>(B22*40)+(C22*162)+(D22*162)</f>
        <v>840</v>
      </c>
      <c r="F22" s="2">
        <f>E22/0.9</f>
        <v>933.33333333333326</v>
      </c>
      <c r="G22" s="2">
        <v>120</v>
      </c>
      <c r="H22" s="2">
        <f>F22/G22</f>
        <v>7.7777777777777768</v>
      </c>
      <c r="I22" s="2">
        <f>H22*1.15</f>
        <v>8.9444444444444429</v>
      </c>
      <c r="J22" s="2">
        <f>IF(I22&lt;20,20,IF(I22&lt;30,30,IF(I22&lt;40,40,1)))</f>
        <v>20</v>
      </c>
      <c r="K22" s="2">
        <v>12</v>
      </c>
      <c r="L22" s="2">
        <v>4</v>
      </c>
      <c r="M22" s="2">
        <f>VLOOKUP(K22,'Calibre-Ductos'!B2:E45,4,(FALSE))</f>
        <v>16.8</v>
      </c>
      <c r="N22" s="2">
        <v>0.5</v>
      </c>
      <c r="O22" s="2">
        <f>VLOOKUP(N22,'Calibre-Ductos'!I3:P11,7,)</f>
        <v>263</v>
      </c>
      <c r="P22" s="11">
        <f>((L22*M22)/O22)*100</f>
        <v>25.551330798479089</v>
      </c>
      <c r="Q22" s="2" t="s">
        <v>16</v>
      </c>
      <c r="R22" s="2"/>
      <c r="S22" s="2"/>
      <c r="T22" s="2" t="s">
        <v>154</v>
      </c>
    </row>
    <row r="23" spans="1:20">
      <c r="A23" s="2">
        <v>2</v>
      </c>
      <c r="B23" s="2"/>
      <c r="C23" s="2">
        <v>3</v>
      </c>
      <c r="D23" s="2">
        <v>1</v>
      </c>
      <c r="E23" s="2">
        <f t="shared" ref="E23:E31" si="7">(B23*40)+(C23*162)+(D23*162)</f>
        <v>648</v>
      </c>
      <c r="F23" s="2">
        <f t="shared" ref="F23:F31" si="8">E23/0.9</f>
        <v>720</v>
      </c>
      <c r="G23" s="2">
        <v>120</v>
      </c>
      <c r="H23" s="2">
        <f t="shared" ref="H23:H32" si="9">F23/G23</f>
        <v>6</v>
      </c>
      <c r="I23" s="2">
        <f t="shared" ref="I23:I32" si="10">H23*1.15</f>
        <v>6.8999999999999995</v>
      </c>
      <c r="J23" s="2">
        <f t="shared" ref="J23:J31" si="11">IF(I23&lt;20,20,IF(I23&lt;30,30,IF(I23&lt;40,40,1)))</f>
        <v>20</v>
      </c>
      <c r="K23" s="2">
        <v>12</v>
      </c>
      <c r="L23" s="2">
        <v>3</v>
      </c>
      <c r="M23" s="2">
        <f>VLOOKUP(K23,'Calibre-Ductos'!B2:E45,4,(FALSE))</f>
        <v>16.8</v>
      </c>
      <c r="N23" s="2">
        <v>0.5</v>
      </c>
      <c r="O23" s="2">
        <f>VLOOKUP(N23,'Calibre-Ductos'!I3:P11,7,)</f>
        <v>263</v>
      </c>
      <c r="P23" s="11">
        <f t="shared" ref="P23:P32" si="12">((L23*M23)/O23)*100</f>
        <v>19.163498098859318</v>
      </c>
      <c r="Q23" s="2" t="s">
        <v>16</v>
      </c>
      <c r="R23" s="2"/>
      <c r="S23" s="2"/>
      <c r="T23" s="2" t="s">
        <v>163</v>
      </c>
    </row>
    <row r="24" spans="1:20">
      <c r="A24" s="2">
        <v>3</v>
      </c>
      <c r="B24" s="2"/>
      <c r="C24" s="2">
        <v>9</v>
      </c>
      <c r="D24" s="2">
        <v>1</v>
      </c>
      <c r="E24" s="2">
        <f t="shared" si="7"/>
        <v>1620</v>
      </c>
      <c r="F24" s="2">
        <f t="shared" si="8"/>
        <v>1800</v>
      </c>
      <c r="G24" s="2">
        <v>120</v>
      </c>
      <c r="H24" s="2">
        <f t="shared" si="9"/>
        <v>15</v>
      </c>
      <c r="I24" s="2">
        <f t="shared" si="10"/>
        <v>17.25</v>
      </c>
      <c r="J24" s="2">
        <f t="shared" si="11"/>
        <v>20</v>
      </c>
      <c r="K24" s="2">
        <v>12</v>
      </c>
      <c r="L24" s="2">
        <v>3</v>
      </c>
      <c r="M24" s="2">
        <f>VLOOKUP(K24,'Calibre-Ductos'!B2:E45,4,(FALSE))</f>
        <v>16.8</v>
      </c>
      <c r="N24" s="2">
        <v>0.5</v>
      </c>
      <c r="O24" s="2">
        <f>VLOOKUP(N24,'Calibre-Ductos'!I3:P11,7,)</f>
        <v>263</v>
      </c>
      <c r="P24" s="11">
        <f t="shared" si="12"/>
        <v>19.163498098859318</v>
      </c>
      <c r="Q24" s="2" t="s">
        <v>16</v>
      </c>
      <c r="R24" s="2"/>
      <c r="S24" s="2"/>
      <c r="T24" s="2" t="s">
        <v>158</v>
      </c>
    </row>
    <row r="25" spans="1:20">
      <c r="A25" s="2">
        <v>4</v>
      </c>
      <c r="B25" s="2"/>
      <c r="C25" s="2">
        <v>7</v>
      </c>
      <c r="D25" s="2">
        <v>1</v>
      </c>
      <c r="E25" s="2">
        <f t="shared" si="7"/>
        <v>1296</v>
      </c>
      <c r="F25" s="2">
        <f t="shared" si="8"/>
        <v>1440</v>
      </c>
      <c r="G25" s="2">
        <v>120</v>
      </c>
      <c r="H25" s="2">
        <f t="shared" si="9"/>
        <v>12</v>
      </c>
      <c r="I25" s="2">
        <f t="shared" si="10"/>
        <v>13.799999999999999</v>
      </c>
      <c r="J25" s="2">
        <f t="shared" si="11"/>
        <v>20</v>
      </c>
      <c r="K25" s="2">
        <v>12</v>
      </c>
      <c r="L25" s="2">
        <v>3</v>
      </c>
      <c r="M25" s="2">
        <f>VLOOKUP(K25,'Calibre-Ductos'!B2:E45,4,(FALSE))</f>
        <v>16.8</v>
      </c>
      <c r="N25" s="2">
        <v>0.5</v>
      </c>
      <c r="O25" s="2">
        <f>VLOOKUP(N25,'Calibre-Ductos'!I3:P11,7,)</f>
        <v>263</v>
      </c>
      <c r="P25" s="11">
        <f t="shared" si="12"/>
        <v>19.163498098859318</v>
      </c>
      <c r="Q25" s="2" t="s">
        <v>16</v>
      </c>
      <c r="R25" s="2"/>
      <c r="S25" s="2"/>
      <c r="T25" s="2" t="s">
        <v>159</v>
      </c>
    </row>
    <row r="26" spans="1:20">
      <c r="A26" s="2">
        <v>5</v>
      </c>
      <c r="B26" s="2"/>
      <c r="C26" s="2"/>
      <c r="D26" s="2">
        <v>1</v>
      </c>
      <c r="E26" s="2">
        <v>1000</v>
      </c>
      <c r="F26" s="2">
        <f t="shared" si="8"/>
        <v>1111.1111111111111</v>
      </c>
      <c r="G26" s="2">
        <v>120</v>
      </c>
      <c r="H26" s="2">
        <f t="shared" si="9"/>
        <v>9.2592592592592595</v>
      </c>
      <c r="I26" s="2">
        <f t="shared" si="10"/>
        <v>10.648148148148147</v>
      </c>
      <c r="J26" s="2">
        <f t="shared" si="11"/>
        <v>20</v>
      </c>
      <c r="K26" s="2"/>
      <c r="L26" s="2"/>
      <c r="M26" s="2" t="e">
        <f>VLOOKUP(K26,'Calibre-Ductos'!B2:E45,4,(FALSE))</f>
        <v>#N/A</v>
      </c>
      <c r="N26" s="2"/>
      <c r="O26" s="2" t="e">
        <f>VLOOKUP(N26,'Calibre-Ductos'!I3:P11,7,)</f>
        <v>#N/A</v>
      </c>
      <c r="P26" s="11" t="e">
        <f t="shared" si="12"/>
        <v>#N/A</v>
      </c>
      <c r="Q26" s="2" t="s">
        <v>16</v>
      </c>
      <c r="R26" s="2"/>
      <c r="S26" s="2"/>
      <c r="T26" s="2" t="s">
        <v>162</v>
      </c>
    </row>
    <row r="27" spans="1:20">
      <c r="A27" s="2">
        <v>6</v>
      </c>
      <c r="B27" s="2"/>
      <c r="C27" s="2"/>
      <c r="D27" s="2">
        <v>0</v>
      </c>
      <c r="E27" s="2">
        <v>0</v>
      </c>
      <c r="F27" s="2">
        <v>0</v>
      </c>
      <c r="G27" s="2">
        <v>120</v>
      </c>
      <c r="H27" s="2">
        <f t="shared" si="9"/>
        <v>0</v>
      </c>
      <c r="I27" s="2">
        <f t="shared" si="10"/>
        <v>0</v>
      </c>
      <c r="J27" s="2">
        <f t="shared" si="11"/>
        <v>20</v>
      </c>
      <c r="K27" s="2"/>
      <c r="L27" s="2"/>
      <c r="M27" s="2" t="e">
        <f>VLOOKUP(K27,'Calibre-Ductos'!B2:E45,4,(FALSE))</f>
        <v>#N/A</v>
      </c>
      <c r="N27" s="2"/>
      <c r="O27" s="2" t="e">
        <f>VLOOKUP(N27,'Calibre-Ductos'!I3:P11,7,)</f>
        <v>#N/A</v>
      </c>
      <c r="P27" s="11" t="e">
        <f t="shared" si="12"/>
        <v>#N/A</v>
      </c>
      <c r="Q27" s="2" t="s">
        <v>16</v>
      </c>
      <c r="R27" s="2"/>
      <c r="S27" s="2"/>
      <c r="T27" s="2"/>
    </row>
    <row r="28" spans="1:20">
      <c r="A28" s="2">
        <v>7</v>
      </c>
      <c r="B28" s="2"/>
      <c r="C28" s="2"/>
      <c r="D28" s="2"/>
      <c r="E28" s="2">
        <f t="shared" si="7"/>
        <v>0</v>
      </c>
      <c r="F28" s="2">
        <f t="shared" si="8"/>
        <v>0</v>
      </c>
      <c r="G28" s="2">
        <v>120</v>
      </c>
      <c r="H28" s="2">
        <f t="shared" si="9"/>
        <v>0</v>
      </c>
      <c r="I28" s="2">
        <f t="shared" si="10"/>
        <v>0</v>
      </c>
      <c r="J28" s="2">
        <f t="shared" si="11"/>
        <v>20</v>
      </c>
      <c r="K28" s="2"/>
      <c r="L28" s="2"/>
      <c r="M28" s="2" t="e">
        <f>VLOOKUP(K28,'Calibre-Ductos'!B2:E45,4,(FALSE))</f>
        <v>#N/A</v>
      </c>
      <c r="N28" s="2"/>
      <c r="O28" s="2" t="e">
        <f>VLOOKUP(N28,'Calibre-Ductos'!I3:P11,7,)</f>
        <v>#N/A</v>
      </c>
      <c r="P28" s="11" t="e">
        <f t="shared" si="12"/>
        <v>#N/A</v>
      </c>
      <c r="Q28" s="2" t="s">
        <v>16</v>
      </c>
      <c r="R28" s="2"/>
      <c r="S28" s="2"/>
      <c r="T28" s="2"/>
    </row>
    <row r="29" spans="1:20">
      <c r="A29" s="2">
        <v>8</v>
      </c>
      <c r="B29" s="2"/>
      <c r="C29" s="2"/>
      <c r="D29" s="2"/>
      <c r="E29" s="2">
        <f t="shared" si="7"/>
        <v>0</v>
      </c>
      <c r="F29" s="2">
        <f t="shared" si="8"/>
        <v>0</v>
      </c>
      <c r="G29" s="2">
        <v>120</v>
      </c>
      <c r="H29" s="2">
        <f t="shared" si="9"/>
        <v>0</v>
      </c>
      <c r="I29" s="2">
        <f t="shared" si="10"/>
        <v>0</v>
      </c>
      <c r="J29" s="2">
        <f t="shared" si="11"/>
        <v>20</v>
      </c>
      <c r="K29" s="2"/>
      <c r="L29" s="2"/>
      <c r="M29" s="2" t="e">
        <f>VLOOKUP(K29,'Calibre-Ductos'!B2:E45,4,(FALSE))</f>
        <v>#N/A</v>
      </c>
      <c r="N29" s="2"/>
      <c r="O29" s="2" t="e">
        <f>VLOOKUP(N29,'Calibre-Ductos'!I3:P11,7,)</f>
        <v>#N/A</v>
      </c>
      <c r="P29" s="11" t="e">
        <f t="shared" si="12"/>
        <v>#N/A</v>
      </c>
      <c r="Q29" s="2" t="s">
        <v>16</v>
      </c>
      <c r="R29" s="2"/>
      <c r="S29" s="2"/>
      <c r="T29" s="2"/>
    </row>
    <row r="30" spans="1:20">
      <c r="A30" s="2">
        <v>9</v>
      </c>
      <c r="B30" s="2"/>
      <c r="C30" s="2"/>
      <c r="D30" s="2"/>
      <c r="E30" s="2">
        <f t="shared" si="7"/>
        <v>0</v>
      </c>
      <c r="F30" s="2">
        <f t="shared" si="8"/>
        <v>0</v>
      </c>
      <c r="G30" s="2">
        <v>120</v>
      </c>
      <c r="H30" s="2">
        <f t="shared" si="9"/>
        <v>0</v>
      </c>
      <c r="I30" s="2">
        <f t="shared" si="10"/>
        <v>0</v>
      </c>
      <c r="J30" s="2">
        <f t="shared" si="11"/>
        <v>20</v>
      </c>
      <c r="K30" s="2"/>
      <c r="L30" s="2"/>
      <c r="M30" s="2" t="e">
        <f>VLOOKUP(K30,'Calibre-Ductos'!B2:E45,4,(FALSE))</f>
        <v>#N/A</v>
      </c>
      <c r="N30" s="2"/>
      <c r="O30" s="2" t="e">
        <f>VLOOKUP(N30,'Calibre-Ductos'!I3:P11,7,)</f>
        <v>#N/A</v>
      </c>
      <c r="P30" s="11" t="e">
        <f t="shared" si="12"/>
        <v>#N/A</v>
      </c>
      <c r="Q30" s="2" t="s">
        <v>16</v>
      </c>
      <c r="R30" s="2"/>
      <c r="S30" s="2"/>
      <c r="T30" s="2"/>
    </row>
    <row r="31" spans="1:20">
      <c r="A31" s="2">
        <v>10</v>
      </c>
      <c r="B31" s="2"/>
      <c r="C31" s="2"/>
      <c r="D31" s="2"/>
      <c r="E31" s="2">
        <f t="shared" si="7"/>
        <v>0</v>
      </c>
      <c r="F31" s="2">
        <f t="shared" si="8"/>
        <v>0</v>
      </c>
      <c r="G31" s="2">
        <v>120</v>
      </c>
      <c r="H31" s="2">
        <f t="shared" si="9"/>
        <v>0</v>
      </c>
      <c r="I31" s="2">
        <f t="shared" si="10"/>
        <v>0</v>
      </c>
      <c r="J31" s="2">
        <f t="shared" si="11"/>
        <v>20</v>
      </c>
      <c r="K31" s="2"/>
      <c r="L31" s="2"/>
      <c r="M31" s="2" t="e">
        <f>VLOOKUP(K31,'Calibre-Ductos'!B2:E45,4,(FALSE))</f>
        <v>#N/A</v>
      </c>
      <c r="N31" s="2"/>
      <c r="O31" s="2" t="e">
        <f>VLOOKUP(N31,'Calibre-Ductos'!I3:P11,7,)</f>
        <v>#N/A</v>
      </c>
      <c r="P31" s="11" t="e">
        <f t="shared" si="12"/>
        <v>#N/A</v>
      </c>
      <c r="Q31" s="2" t="s">
        <v>16</v>
      </c>
      <c r="R31" s="2"/>
      <c r="S31" s="2"/>
      <c r="T31" s="2"/>
    </row>
    <row r="32" spans="1:20">
      <c r="A32" s="2" t="s">
        <v>169</v>
      </c>
      <c r="B32" s="2"/>
      <c r="C32" s="2"/>
      <c r="D32" s="2"/>
      <c r="E32" s="2">
        <f>SUM(E22:E31)</f>
        <v>5404</v>
      </c>
      <c r="F32" s="2">
        <f t="shared" ref="F32:F33" si="13">E32/0.9</f>
        <v>6004.4444444444443</v>
      </c>
      <c r="G32" s="2">
        <v>120</v>
      </c>
      <c r="H32" s="2">
        <f t="shared" si="9"/>
        <v>50.037037037037038</v>
      </c>
      <c r="I32" s="2">
        <f t="shared" si="10"/>
        <v>57.542592592592591</v>
      </c>
      <c r="J32" s="2">
        <f>IF(I32&lt;20,20,IF(I32&lt;30,30,IF(I32&lt;40,40,50)))</f>
        <v>50</v>
      </c>
      <c r="K32" s="2"/>
      <c r="L32" s="2"/>
      <c r="M32" s="2" t="e">
        <f>VLOOKUP(K32,'Calibre-Ductos'!B2:E45,4,(FALSE))</f>
        <v>#N/A</v>
      </c>
      <c r="N32" s="2"/>
      <c r="O32" s="2" t="e">
        <f>VLOOKUP(N32,'Calibre-Ductos'!I3:P11,7,)</f>
        <v>#N/A</v>
      </c>
      <c r="P32" s="11" t="e">
        <f t="shared" si="12"/>
        <v>#N/A</v>
      </c>
      <c r="Q32" s="2" t="s">
        <v>16</v>
      </c>
      <c r="R32" s="2"/>
      <c r="S32" s="2"/>
      <c r="T32" s="2"/>
    </row>
    <row r="33" spans="1:20">
      <c r="A33" s="337" t="s">
        <v>170</v>
      </c>
      <c r="B33" s="337"/>
      <c r="C33" s="337"/>
      <c r="D33" s="2">
        <v>6</v>
      </c>
      <c r="E33" s="2">
        <f>E32*D33</f>
        <v>32424</v>
      </c>
      <c r="F33" s="2">
        <f t="shared" si="13"/>
        <v>36026.666666666664</v>
      </c>
    </row>
    <row r="36" spans="1:20">
      <c r="A36" s="331"/>
      <c r="B36" s="331"/>
      <c r="C36" s="331"/>
      <c r="D36" s="331"/>
      <c r="E36" s="331"/>
      <c r="F36" s="331"/>
      <c r="G36" s="331"/>
      <c r="H36" s="331"/>
      <c r="I36" s="331"/>
      <c r="J36" s="331"/>
      <c r="K36" s="331"/>
      <c r="L36" s="331"/>
      <c r="M36" s="331"/>
      <c r="N36" s="331"/>
      <c r="O36" s="331"/>
      <c r="P36" s="331"/>
      <c r="Q36" s="331"/>
      <c r="R36" s="331"/>
      <c r="S36" s="331"/>
      <c r="T36" s="331"/>
    </row>
    <row r="37" spans="1:20">
      <c r="A37" s="334" t="s">
        <v>19</v>
      </c>
      <c r="B37" s="334" t="s">
        <v>25</v>
      </c>
      <c r="C37" s="328" t="s">
        <v>0</v>
      </c>
      <c r="D37" s="330"/>
      <c r="E37" s="328" t="s">
        <v>1</v>
      </c>
      <c r="F37" s="330"/>
      <c r="G37" s="3" t="s">
        <v>2</v>
      </c>
      <c r="H37" s="328" t="s">
        <v>3</v>
      </c>
      <c r="I37" s="330"/>
      <c r="J37" s="3" t="s">
        <v>4</v>
      </c>
      <c r="K37" s="326" t="s">
        <v>20</v>
      </c>
      <c r="L37" s="326" t="s">
        <v>21</v>
      </c>
      <c r="M37" s="336" t="s">
        <v>22</v>
      </c>
      <c r="N37" s="336" t="s">
        <v>23</v>
      </c>
      <c r="O37" s="336" t="s">
        <v>22</v>
      </c>
      <c r="P37" s="326" t="s">
        <v>24</v>
      </c>
      <c r="Q37" s="328" t="s">
        <v>5</v>
      </c>
      <c r="R37" s="329"/>
      <c r="S37" s="330"/>
      <c r="T37" s="332" t="s">
        <v>15</v>
      </c>
    </row>
    <row r="38" spans="1:20">
      <c r="A38" s="335"/>
      <c r="B38" s="335"/>
      <c r="C38" s="4" t="s">
        <v>6</v>
      </c>
      <c r="D38" s="4" t="s">
        <v>7</v>
      </c>
      <c r="E38" s="4" t="s">
        <v>8</v>
      </c>
      <c r="F38" s="4" t="s">
        <v>9</v>
      </c>
      <c r="G38" s="4" t="s">
        <v>10</v>
      </c>
      <c r="H38" s="4" t="s">
        <v>11</v>
      </c>
      <c r="I38" s="4" t="s">
        <v>26</v>
      </c>
      <c r="J38" s="4" t="s">
        <v>27</v>
      </c>
      <c r="K38" s="327"/>
      <c r="L38" s="327"/>
      <c r="M38" s="335"/>
      <c r="N38" s="335"/>
      <c r="O38" s="335"/>
      <c r="P38" s="327"/>
      <c r="Q38" s="5" t="s">
        <v>12</v>
      </c>
      <c r="R38" s="5" t="s">
        <v>13</v>
      </c>
      <c r="S38" s="5" t="s">
        <v>14</v>
      </c>
      <c r="T38" s="333"/>
    </row>
    <row r="39" spans="1:20">
      <c r="A39" s="2">
        <v>1</v>
      </c>
      <c r="B39" s="2"/>
      <c r="C39" s="2"/>
      <c r="D39" s="2"/>
      <c r="E39" s="2">
        <f>(B39*9)+(C39*162)+(D39*162)</f>
        <v>0</v>
      </c>
      <c r="F39" s="2">
        <f>E39/0.9</f>
        <v>0</v>
      </c>
      <c r="G39" s="2">
        <v>120</v>
      </c>
      <c r="H39" s="2">
        <f>F39/G39</f>
        <v>0</v>
      </c>
      <c r="I39" s="2">
        <f>H39*1.15</f>
        <v>0</v>
      </c>
      <c r="J39" s="2">
        <f>IF(I39&lt;20,20,IF(I39&lt;30,30,IF(I39&lt;40,40,1)))</f>
        <v>20</v>
      </c>
      <c r="K39" s="2">
        <v>12</v>
      </c>
      <c r="L39" s="2">
        <v>3</v>
      </c>
      <c r="M39" s="2">
        <f>VLOOKUP(K39,'Calibre-Ductos'!B2:E45,4,(FALSE))</f>
        <v>16.8</v>
      </c>
      <c r="N39" s="2">
        <v>0.5</v>
      </c>
      <c r="O39" s="2">
        <f>VLOOKUP(N39,'Calibre-Ductos'!I3:P11,7,)</f>
        <v>263</v>
      </c>
      <c r="P39" s="11">
        <f>((L39*M39)/O39)*100</f>
        <v>19.163498098859318</v>
      </c>
      <c r="Q39" s="2" t="s">
        <v>16</v>
      </c>
      <c r="R39" s="2"/>
      <c r="S39" s="2"/>
      <c r="T39" s="2"/>
    </row>
    <row r="40" spans="1:20">
      <c r="A40" s="2">
        <v>2</v>
      </c>
      <c r="B40" s="2"/>
      <c r="C40" s="2"/>
      <c r="D40" s="2"/>
      <c r="E40" s="2">
        <f t="shared" ref="E40:E48" si="14">(B40*9)+(C40*162)+(D40*162)</f>
        <v>0</v>
      </c>
      <c r="F40" s="2">
        <f t="shared" ref="F40:F50" si="15">E40/0.9</f>
        <v>0</v>
      </c>
      <c r="G40" s="2">
        <v>120</v>
      </c>
      <c r="H40" s="2">
        <f t="shared" ref="H40:H49" si="16">F40/G40</f>
        <v>0</v>
      </c>
      <c r="I40" s="2">
        <f t="shared" ref="I40:I49" si="17">H40*1.15</f>
        <v>0</v>
      </c>
      <c r="J40" s="2">
        <f t="shared" ref="J40:J49" si="18">IF(I40&lt;20,20,IF(I40&lt;30,30,IF(I40&lt;40,40,1)))</f>
        <v>20</v>
      </c>
      <c r="K40" s="2"/>
      <c r="L40" s="2"/>
      <c r="M40" s="2" t="e">
        <f>VLOOKUP(K40,'Calibre-Ductos'!B2:E45,4,(FALSE))</f>
        <v>#N/A</v>
      </c>
      <c r="N40" s="2"/>
      <c r="O40" s="2" t="e">
        <f>VLOOKUP(N40,'Calibre-Ductos'!I3:P11,7,)</f>
        <v>#N/A</v>
      </c>
      <c r="P40" s="11" t="e">
        <f t="shared" ref="P40:P49" si="19">((L40*M40)/O40)*100</f>
        <v>#N/A</v>
      </c>
      <c r="Q40" s="2" t="s">
        <v>16</v>
      </c>
      <c r="R40" s="2"/>
      <c r="S40" s="2"/>
      <c r="T40" s="2"/>
    </row>
    <row r="41" spans="1:20">
      <c r="A41" s="2">
        <v>3</v>
      </c>
      <c r="B41" s="2"/>
      <c r="C41" s="2"/>
      <c r="D41" s="2"/>
      <c r="E41" s="2">
        <f t="shared" si="14"/>
        <v>0</v>
      </c>
      <c r="F41" s="2">
        <f t="shared" si="15"/>
        <v>0</v>
      </c>
      <c r="G41" s="2">
        <v>120</v>
      </c>
      <c r="H41" s="2">
        <f t="shared" si="16"/>
        <v>0</v>
      </c>
      <c r="I41" s="2">
        <f t="shared" si="17"/>
        <v>0</v>
      </c>
      <c r="J41" s="2">
        <f t="shared" si="18"/>
        <v>20</v>
      </c>
      <c r="K41" s="2"/>
      <c r="L41" s="2"/>
      <c r="M41" s="2" t="e">
        <f>VLOOKUP(K41,'Calibre-Ductos'!B2:E45,4,(FALSE))</f>
        <v>#N/A</v>
      </c>
      <c r="N41" s="2"/>
      <c r="O41" s="2" t="e">
        <f>VLOOKUP(N41,'Calibre-Ductos'!I3:P11,7,)</f>
        <v>#N/A</v>
      </c>
      <c r="P41" s="11" t="e">
        <f t="shared" si="19"/>
        <v>#N/A</v>
      </c>
      <c r="Q41" s="2" t="s">
        <v>16</v>
      </c>
      <c r="R41" s="2"/>
      <c r="S41" s="2"/>
      <c r="T41" s="2"/>
    </row>
    <row r="42" spans="1:20">
      <c r="A42" s="2">
        <v>4</v>
      </c>
      <c r="B42" s="2"/>
      <c r="C42" s="2"/>
      <c r="D42" s="2"/>
      <c r="E42" s="2">
        <f t="shared" si="14"/>
        <v>0</v>
      </c>
      <c r="F42" s="2">
        <f t="shared" si="15"/>
        <v>0</v>
      </c>
      <c r="G42" s="2">
        <v>120</v>
      </c>
      <c r="H42" s="2">
        <f t="shared" si="16"/>
        <v>0</v>
      </c>
      <c r="I42" s="2">
        <f t="shared" si="17"/>
        <v>0</v>
      </c>
      <c r="J42" s="2">
        <f t="shared" si="18"/>
        <v>20</v>
      </c>
      <c r="K42" s="2"/>
      <c r="L42" s="2"/>
      <c r="M42" s="2" t="e">
        <f>VLOOKUP(K42,'Calibre-Ductos'!B2:E45,4,(FALSE))</f>
        <v>#N/A</v>
      </c>
      <c r="N42" s="2"/>
      <c r="O42" s="2" t="e">
        <f>VLOOKUP(N42,'Calibre-Ductos'!I3:P11,7,)</f>
        <v>#N/A</v>
      </c>
      <c r="P42" s="11" t="e">
        <f t="shared" si="19"/>
        <v>#N/A</v>
      </c>
      <c r="Q42" s="2" t="s">
        <v>16</v>
      </c>
      <c r="R42" s="2"/>
      <c r="S42" s="2"/>
      <c r="T42" s="2"/>
    </row>
    <row r="43" spans="1:20">
      <c r="A43" s="2">
        <v>5</v>
      </c>
      <c r="B43" s="2"/>
      <c r="C43" s="2"/>
      <c r="D43" s="2"/>
      <c r="E43" s="2">
        <f t="shared" si="14"/>
        <v>0</v>
      </c>
      <c r="F43" s="2">
        <f t="shared" si="15"/>
        <v>0</v>
      </c>
      <c r="G43" s="2">
        <v>120</v>
      </c>
      <c r="H43" s="2">
        <f t="shared" si="16"/>
        <v>0</v>
      </c>
      <c r="I43" s="2">
        <f t="shared" si="17"/>
        <v>0</v>
      </c>
      <c r="J43" s="2">
        <f t="shared" si="18"/>
        <v>20</v>
      </c>
      <c r="K43" s="2"/>
      <c r="L43" s="2"/>
      <c r="M43" s="2" t="e">
        <f>VLOOKUP(K43,'Calibre-Ductos'!B2:E45,4,(FALSE))</f>
        <v>#N/A</v>
      </c>
      <c r="N43" s="2"/>
      <c r="O43" s="2" t="e">
        <f>VLOOKUP(N43,'Calibre-Ductos'!I3:P11,7,)</f>
        <v>#N/A</v>
      </c>
      <c r="P43" s="11" t="e">
        <f t="shared" si="19"/>
        <v>#N/A</v>
      </c>
      <c r="Q43" s="2" t="s">
        <v>16</v>
      </c>
      <c r="R43" s="2"/>
      <c r="S43" s="2"/>
      <c r="T43" s="2"/>
    </row>
    <row r="44" spans="1:20">
      <c r="A44" s="2">
        <v>6</v>
      </c>
      <c r="B44" s="2"/>
      <c r="C44" s="2"/>
      <c r="D44" s="2"/>
      <c r="E44" s="2">
        <f t="shared" si="14"/>
        <v>0</v>
      </c>
      <c r="F44" s="2">
        <f t="shared" si="15"/>
        <v>0</v>
      </c>
      <c r="G44" s="2">
        <v>120</v>
      </c>
      <c r="H44" s="2">
        <f t="shared" si="16"/>
        <v>0</v>
      </c>
      <c r="I44" s="2">
        <f t="shared" si="17"/>
        <v>0</v>
      </c>
      <c r="J44" s="2">
        <f t="shared" si="18"/>
        <v>20</v>
      </c>
      <c r="K44" s="2"/>
      <c r="L44" s="2"/>
      <c r="M44" s="2" t="e">
        <f>VLOOKUP(K44,'Calibre-Ductos'!B2:E45,4,(FALSE))</f>
        <v>#N/A</v>
      </c>
      <c r="N44" s="2"/>
      <c r="O44" s="2" t="e">
        <f>VLOOKUP(N44,'Calibre-Ductos'!I3:P11,7,)</f>
        <v>#N/A</v>
      </c>
      <c r="P44" s="11" t="e">
        <f t="shared" si="19"/>
        <v>#N/A</v>
      </c>
      <c r="Q44" s="2" t="s">
        <v>16</v>
      </c>
      <c r="R44" s="2"/>
      <c r="S44" s="2"/>
      <c r="T44" s="2"/>
    </row>
    <row r="45" spans="1:20">
      <c r="A45" s="2">
        <v>7</v>
      </c>
      <c r="B45" s="2"/>
      <c r="C45" s="2"/>
      <c r="D45" s="2"/>
      <c r="E45" s="2">
        <f t="shared" si="14"/>
        <v>0</v>
      </c>
      <c r="F45" s="2">
        <f t="shared" si="15"/>
        <v>0</v>
      </c>
      <c r="G45" s="2">
        <v>120</v>
      </c>
      <c r="H45" s="2">
        <f t="shared" si="16"/>
        <v>0</v>
      </c>
      <c r="I45" s="2">
        <f t="shared" si="17"/>
        <v>0</v>
      </c>
      <c r="J45" s="2">
        <f t="shared" si="18"/>
        <v>20</v>
      </c>
      <c r="K45" s="2"/>
      <c r="L45" s="2"/>
      <c r="M45" s="2" t="e">
        <f>VLOOKUP(K45,'Calibre-Ductos'!B2:E45,4,(FALSE))</f>
        <v>#N/A</v>
      </c>
      <c r="N45" s="2"/>
      <c r="O45" s="2" t="e">
        <f>VLOOKUP(N45,'Calibre-Ductos'!I3:P11,7,)</f>
        <v>#N/A</v>
      </c>
      <c r="P45" s="11" t="e">
        <f t="shared" si="19"/>
        <v>#N/A</v>
      </c>
      <c r="Q45" s="2" t="s">
        <v>16</v>
      </c>
      <c r="R45" s="2"/>
      <c r="S45" s="2"/>
      <c r="T45" s="2"/>
    </row>
    <row r="46" spans="1:20">
      <c r="A46" s="2">
        <v>8</v>
      </c>
      <c r="B46" s="2"/>
      <c r="C46" s="2"/>
      <c r="D46" s="2"/>
      <c r="E46" s="2">
        <f t="shared" si="14"/>
        <v>0</v>
      </c>
      <c r="F46" s="2">
        <f t="shared" si="15"/>
        <v>0</v>
      </c>
      <c r="G46" s="2">
        <v>120</v>
      </c>
      <c r="H46" s="2">
        <f t="shared" si="16"/>
        <v>0</v>
      </c>
      <c r="I46" s="2">
        <f t="shared" si="17"/>
        <v>0</v>
      </c>
      <c r="J46" s="2">
        <f t="shared" si="18"/>
        <v>20</v>
      </c>
      <c r="K46" s="2"/>
      <c r="L46" s="2"/>
      <c r="M46" s="2" t="e">
        <f>VLOOKUP(K46,'Calibre-Ductos'!B2:E45,4,(FALSE))</f>
        <v>#N/A</v>
      </c>
      <c r="N46" s="2"/>
      <c r="O46" s="2" t="e">
        <f>VLOOKUP(N46,'Calibre-Ductos'!I3:P11,7,)</f>
        <v>#N/A</v>
      </c>
      <c r="P46" s="11" t="e">
        <f t="shared" si="19"/>
        <v>#N/A</v>
      </c>
      <c r="Q46" s="2" t="s">
        <v>16</v>
      </c>
      <c r="R46" s="2"/>
      <c r="S46" s="2"/>
      <c r="T46" s="2"/>
    </row>
    <row r="47" spans="1:20">
      <c r="A47" s="2">
        <v>9</v>
      </c>
      <c r="B47" s="2"/>
      <c r="C47" s="2"/>
      <c r="D47" s="2"/>
      <c r="E47" s="2">
        <f t="shared" si="14"/>
        <v>0</v>
      </c>
      <c r="F47" s="2">
        <f t="shared" si="15"/>
        <v>0</v>
      </c>
      <c r="G47" s="2">
        <v>120</v>
      </c>
      <c r="H47" s="2">
        <f t="shared" si="16"/>
        <v>0</v>
      </c>
      <c r="I47" s="2">
        <f t="shared" si="17"/>
        <v>0</v>
      </c>
      <c r="J47" s="2">
        <f t="shared" si="18"/>
        <v>20</v>
      </c>
      <c r="K47" s="2"/>
      <c r="L47" s="2"/>
      <c r="M47" s="2" t="e">
        <f>VLOOKUP(K47,'Calibre-Ductos'!B2:E45,4,(FALSE))</f>
        <v>#N/A</v>
      </c>
      <c r="N47" s="2"/>
      <c r="O47" s="2" t="e">
        <f>VLOOKUP(N47,'Calibre-Ductos'!I3:P11,7,)</f>
        <v>#N/A</v>
      </c>
      <c r="P47" s="11" t="e">
        <f t="shared" si="19"/>
        <v>#N/A</v>
      </c>
      <c r="Q47" s="2" t="s">
        <v>16</v>
      </c>
      <c r="R47" s="2"/>
      <c r="S47" s="2"/>
      <c r="T47" s="2"/>
    </row>
    <row r="48" spans="1:20">
      <c r="A48" s="2">
        <v>10</v>
      </c>
      <c r="B48" s="2"/>
      <c r="C48" s="2"/>
      <c r="D48" s="2"/>
      <c r="E48" s="2">
        <f t="shared" si="14"/>
        <v>0</v>
      </c>
      <c r="F48" s="2">
        <f t="shared" si="15"/>
        <v>0</v>
      </c>
      <c r="G48" s="2">
        <v>120</v>
      </c>
      <c r="H48" s="2">
        <f t="shared" si="16"/>
        <v>0</v>
      </c>
      <c r="I48" s="2">
        <f t="shared" si="17"/>
        <v>0</v>
      </c>
      <c r="J48" s="2">
        <f t="shared" si="18"/>
        <v>20</v>
      </c>
      <c r="K48" s="2"/>
      <c r="L48" s="2"/>
      <c r="M48" s="2" t="e">
        <f>VLOOKUP(K48,'Calibre-Ductos'!B2:E45,4,(FALSE))</f>
        <v>#N/A</v>
      </c>
      <c r="N48" s="2"/>
      <c r="O48" s="2" t="e">
        <f>VLOOKUP(N48,'Calibre-Ductos'!I3:P11,7,)</f>
        <v>#N/A</v>
      </c>
      <c r="P48" s="11" t="e">
        <f t="shared" si="19"/>
        <v>#N/A</v>
      </c>
      <c r="Q48" s="2" t="s">
        <v>16</v>
      </c>
      <c r="R48" s="2"/>
      <c r="S48" s="2"/>
      <c r="T48" s="2"/>
    </row>
    <row r="49" spans="1:20">
      <c r="A49" s="2" t="s">
        <v>169</v>
      </c>
      <c r="B49" s="2"/>
      <c r="C49" s="2"/>
      <c r="D49" s="2"/>
      <c r="E49" s="2">
        <f>SUM(E39:E48)</f>
        <v>0</v>
      </c>
      <c r="F49" s="2">
        <f t="shared" si="15"/>
        <v>0</v>
      </c>
      <c r="G49" s="2">
        <v>120</v>
      </c>
      <c r="H49" s="2">
        <f t="shared" si="16"/>
        <v>0</v>
      </c>
      <c r="I49" s="2">
        <f t="shared" si="17"/>
        <v>0</v>
      </c>
      <c r="J49" s="2">
        <f t="shared" si="18"/>
        <v>20</v>
      </c>
      <c r="K49" s="2"/>
      <c r="L49" s="2"/>
      <c r="M49" s="2" t="e">
        <f>VLOOKUP(K49,'Calibre-Ductos'!B2:E45,4,(FALSE))</f>
        <v>#N/A</v>
      </c>
      <c r="N49" s="2"/>
      <c r="O49" s="2" t="e">
        <f>VLOOKUP(N49,'Calibre-Ductos'!I3:P11,7,)</f>
        <v>#N/A</v>
      </c>
      <c r="P49" s="11" t="e">
        <f t="shared" si="19"/>
        <v>#N/A</v>
      </c>
      <c r="Q49" s="2" t="s">
        <v>16</v>
      </c>
      <c r="R49" s="2"/>
      <c r="S49" s="2"/>
      <c r="T49" s="2"/>
    </row>
    <row r="50" spans="1:20">
      <c r="A50" s="337" t="s">
        <v>170</v>
      </c>
      <c r="B50" s="337"/>
      <c r="C50" s="337"/>
      <c r="D50" s="2"/>
      <c r="E50" s="2">
        <f>E49*D50</f>
        <v>0</v>
      </c>
      <c r="F50" s="2">
        <f t="shared" si="15"/>
        <v>0</v>
      </c>
    </row>
    <row r="53" spans="1:20">
      <c r="A53" s="331" t="s">
        <v>18</v>
      </c>
      <c r="B53" s="331"/>
      <c r="C53" s="331"/>
      <c r="D53" s="331"/>
      <c r="E53" s="331"/>
      <c r="F53" s="331"/>
      <c r="G53" s="331"/>
      <c r="H53" s="331"/>
      <c r="I53" s="331"/>
      <c r="J53" s="331"/>
      <c r="K53" s="331"/>
      <c r="L53" s="331"/>
      <c r="M53" s="331"/>
      <c r="N53" s="331"/>
      <c r="O53" s="331"/>
      <c r="P53" s="331"/>
      <c r="Q53" s="331"/>
      <c r="R53" s="331"/>
      <c r="S53" s="331"/>
      <c r="T53" s="331"/>
    </row>
    <row r="54" spans="1:20">
      <c r="A54" s="334" t="s">
        <v>19</v>
      </c>
      <c r="B54" s="334" t="s">
        <v>25</v>
      </c>
      <c r="C54" s="328" t="s">
        <v>0</v>
      </c>
      <c r="D54" s="330"/>
      <c r="E54" s="328" t="s">
        <v>1</v>
      </c>
      <c r="F54" s="330"/>
      <c r="G54" s="3" t="s">
        <v>2</v>
      </c>
      <c r="H54" s="328" t="s">
        <v>3</v>
      </c>
      <c r="I54" s="330"/>
      <c r="J54" s="3" t="s">
        <v>4</v>
      </c>
      <c r="K54" s="326" t="s">
        <v>20</v>
      </c>
      <c r="L54" s="326" t="s">
        <v>21</v>
      </c>
      <c r="M54" s="336" t="s">
        <v>22</v>
      </c>
      <c r="N54" s="336" t="s">
        <v>23</v>
      </c>
      <c r="O54" s="336" t="s">
        <v>22</v>
      </c>
      <c r="P54" s="326" t="s">
        <v>24</v>
      </c>
      <c r="Q54" s="328" t="s">
        <v>5</v>
      </c>
      <c r="R54" s="329"/>
      <c r="S54" s="330"/>
      <c r="T54" s="332" t="s">
        <v>15</v>
      </c>
    </row>
    <row r="55" spans="1:20">
      <c r="A55" s="335"/>
      <c r="B55" s="335"/>
      <c r="C55" s="4" t="s">
        <v>6</v>
      </c>
      <c r="D55" s="4" t="s">
        <v>7</v>
      </c>
      <c r="E55" s="4" t="s">
        <v>8</v>
      </c>
      <c r="F55" s="4" t="s">
        <v>9</v>
      </c>
      <c r="G55" s="4" t="s">
        <v>10</v>
      </c>
      <c r="H55" s="4" t="s">
        <v>11</v>
      </c>
      <c r="I55" s="4" t="s">
        <v>26</v>
      </c>
      <c r="J55" s="4" t="s">
        <v>27</v>
      </c>
      <c r="K55" s="327"/>
      <c r="L55" s="327"/>
      <c r="M55" s="335"/>
      <c r="N55" s="335"/>
      <c r="O55" s="335"/>
      <c r="P55" s="327"/>
      <c r="Q55" s="5" t="s">
        <v>12</v>
      </c>
      <c r="R55" s="5" t="s">
        <v>13</v>
      </c>
      <c r="S55" s="5" t="s">
        <v>14</v>
      </c>
      <c r="T55" s="333"/>
    </row>
    <row r="56" spans="1:20">
      <c r="A56" s="2">
        <v>1</v>
      </c>
      <c r="B56" s="2"/>
      <c r="C56" s="2"/>
      <c r="D56" s="2"/>
      <c r="E56" s="2">
        <f>(B56*9)+(C56*162)+(D56*162)</f>
        <v>0</v>
      </c>
      <c r="F56" s="2">
        <f>E56/0.9</f>
        <v>0</v>
      </c>
      <c r="G56" s="2">
        <v>120</v>
      </c>
      <c r="H56" s="2">
        <f>F56/G56</f>
        <v>0</v>
      </c>
      <c r="I56" s="2">
        <f>H56*1.15</f>
        <v>0</v>
      </c>
      <c r="J56" s="2">
        <f>IF(I56&lt;20,20,IF(I56&lt;30,30,IF(I56&lt;40,40,1)))</f>
        <v>20</v>
      </c>
      <c r="K56" s="2">
        <v>12</v>
      </c>
      <c r="L56" s="2">
        <v>3</v>
      </c>
      <c r="M56" s="2">
        <f>VLOOKUP(K56,'Calibre-Ductos'!B2:E45,4,(FALSE))</f>
        <v>16.8</v>
      </c>
      <c r="N56" s="2">
        <v>0.5</v>
      </c>
      <c r="O56" s="2">
        <f>VLOOKUP(N56,'Calibre-Ductos'!I3:P11,7,)</f>
        <v>263</v>
      </c>
      <c r="P56" s="11">
        <f>((L56*M56)/O56)*100</f>
        <v>19.163498098859318</v>
      </c>
      <c r="Q56" s="2" t="s">
        <v>16</v>
      </c>
      <c r="R56" s="2"/>
      <c r="S56" s="2"/>
      <c r="T56" s="2"/>
    </row>
    <row r="57" spans="1:20">
      <c r="A57" s="2">
        <v>2</v>
      </c>
      <c r="B57" s="2"/>
      <c r="C57" s="2"/>
      <c r="D57" s="2"/>
      <c r="E57" s="2">
        <f t="shared" ref="E57:E65" si="20">(B57*9)+(C57*162)+(D57*162)</f>
        <v>0</v>
      </c>
      <c r="F57" s="2">
        <f t="shared" ref="F57:F67" si="21">E57/0.9</f>
        <v>0</v>
      </c>
      <c r="G57" s="2">
        <v>120</v>
      </c>
      <c r="H57" s="2">
        <f t="shared" ref="H57:H66" si="22">F57/G57</f>
        <v>0</v>
      </c>
      <c r="I57" s="2">
        <f t="shared" ref="I57:I66" si="23">H57*1.15</f>
        <v>0</v>
      </c>
      <c r="J57" s="2">
        <f t="shared" ref="J57:J66" si="24">IF(I57&lt;20,20,IF(I57&lt;30,30,IF(I57&lt;40,40,1)))</f>
        <v>20</v>
      </c>
      <c r="K57" s="2"/>
      <c r="L57" s="2"/>
      <c r="M57" s="2" t="e">
        <f>VLOOKUP(K57,'Calibre-Ductos'!B2:E45,4,(FALSE))</f>
        <v>#N/A</v>
      </c>
      <c r="N57" s="2"/>
      <c r="O57" s="2" t="e">
        <f>VLOOKUP(N57,'Calibre-Ductos'!I3:P11,7,)</f>
        <v>#N/A</v>
      </c>
      <c r="P57" s="11" t="e">
        <f t="shared" ref="P57:P66" si="25">((L57*M57)/O57)*100</f>
        <v>#N/A</v>
      </c>
      <c r="Q57" s="2" t="s">
        <v>16</v>
      </c>
      <c r="R57" s="2"/>
      <c r="S57" s="2"/>
      <c r="T57" s="2"/>
    </row>
    <row r="58" spans="1:20">
      <c r="A58" s="2">
        <v>3</v>
      </c>
      <c r="B58" s="2"/>
      <c r="C58" s="2"/>
      <c r="D58" s="2"/>
      <c r="E58" s="2">
        <f t="shared" si="20"/>
        <v>0</v>
      </c>
      <c r="F58" s="2">
        <f t="shared" si="21"/>
        <v>0</v>
      </c>
      <c r="G58" s="2">
        <v>120</v>
      </c>
      <c r="H58" s="2">
        <f t="shared" si="22"/>
        <v>0</v>
      </c>
      <c r="I58" s="2">
        <f t="shared" si="23"/>
        <v>0</v>
      </c>
      <c r="J58" s="2">
        <f t="shared" si="24"/>
        <v>20</v>
      </c>
      <c r="K58" s="2"/>
      <c r="L58" s="2"/>
      <c r="M58" s="2" t="e">
        <f>VLOOKUP(K58,'Calibre-Ductos'!B2:E45,4,(FALSE))</f>
        <v>#N/A</v>
      </c>
      <c r="N58" s="2"/>
      <c r="O58" s="2" t="e">
        <f>VLOOKUP(N58,'Calibre-Ductos'!I3:P11,7,)</f>
        <v>#N/A</v>
      </c>
      <c r="P58" s="11" t="e">
        <f t="shared" si="25"/>
        <v>#N/A</v>
      </c>
      <c r="Q58" s="2" t="s">
        <v>16</v>
      </c>
      <c r="R58" s="2"/>
      <c r="S58" s="2"/>
      <c r="T58" s="2"/>
    </row>
    <row r="59" spans="1:20">
      <c r="A59" s="2">
        <v>4</v>
      </c>
      <c r="B59" s="2"/>
      <c r="C59" s="2"/>
      <c r="D59" s="2"/>
      <c r="E59" s="2">
        <f t="shared" si="20"/>
        <v>0</v>
      </c>
      <c r="F59" s="2">
        <f t="shared" si="21"/>
        <v>0</v>
      </c>
      <c r="G59" s="2">
        <v>120</v>
      </c>
      <c r="H59" s="2">
        <f t="shared" si="22"/>
        <v>0</v>
      </c>
      <c r="I59" s="2">
        <f t="shared" si="23"/>
        <v>0</v>
      </c>
      <c r="J59" s="2">
        <f t="shared" si="24"/>
        <v>20</v>
      </c>
      <c r="K59" s="2"/>
      <c r="L59" s="2"/>
      <c r="M59" s="2" t="e">
        <f>VLOOKUP(K59,'Calibre-Ductos'!B2:E45,4,(FALSE))</f>
        <v>#N/A</v>
      </c>
      <c r="N59" s="2"/>
      <c r="O59" s="2" t="e">
        <f>VLOOKUP(N59,'Calibre-Ductos'!I3:P11,7,)</f>
        <v>#N/A</v>
      </c>
      <c r="P59" s="11" t="e">
        <f t="shared" si="25"/>
        <v>#N/A</v>
      </c>
      <c r="Q59" s="2" t="s">
        <v>16</v>
      </c>
      <c r="R59" s="2"/>
      <c r="S59" s="2"/>
      <c r="T59" s="2"/>
    </row>
    <row r="60" spans="1:20">
      <c r="A60" s="2">
        <v>5</v>
      </c>
      <c r="B60" s="2"/>
      <c r="C60" s="2"/>
      <c r="D60" s="2"/>
      <c r="E60" s="2">
        <f t="shared" si="20"/>
        <v>0</v>
      </c>
      <c r="F60" s="2">
        <f t="shared" si="21"/>
        <v>0</v>
      </c>
      <c r="G60" s="2">
        <v>120</v>
      </c>
      <c r="H60" s="2">
        <f t="shared" si="22"/>
        <v>0</v>
      </c>
      <c r="I60" s="2">
        <f t="shared" si="23"/>
        <v>0</v>
      </c>
      <c r="J60" s="2">
        <f t="shared" si="24"/>
        <v>20</v>
      </c>
      <c r="K60" s="2"/>
      <c r="L60" s="2"/>
      <c r="M60" s="2" t="e">
        <f>VLOOKUP(K60,'Calibre-Ductos'!B2:E45,4,(FALSE))</f>
        <v>#N/A</v>
      </c>
      <c r="N60" s="2"/>
      <c r="O60" s="2" t="e">
        <f>VLOOKUP(N60,'Calibre-Ductos'!I3:P11,7,)</f>
        <v>#N/A</v>
      </c>
      <c r="P60" s="11" t="e">
        <f t="shared" si="25"/>
        <v>#N/A</v>
      </c>
      <c r="Q60" s="2" t="s">
        <v>16</v>
      </c>
      <c r="R60" s="2"/>
      <c r="S60" s="2"/>
      <c r="T60" s="2"/>
    </row>
    <row r="61" spans="1:20">
      <c r="A61" s="2">
        <v>6</v>
      </c>
      <c r="B61" s="2"/>
      <c r="C61" s="2"/>
      <c r="D61" s="2"/>
      <c r="E61" s="2">
        <f t="shared" si="20"/>
        <v>0</v>
      </c>
      <c r="F61" s="2">
        <f t="shared" si="21"/>
        <v>0</v>
      </c>
      <c r="G61" s="2">
        <v>120</v>
      </c>
      <c r="H61" s="2">
        <f t="shared" si="22"/>
        <v>0</v>
      </c>
      <c r="I61" s="2">
        <f t="shared" si="23"/>
        <v>0</v>
      </c>
      <c r="J61" s="2">
        <f t="shared" si="24"/>
        <v>20</v>
      </c>
      <c r="K61" s="2"/>
      <c r="L61" s="2"/>
      <c r="M61" s="2" t="e">
        <f>VLOOKUP(K61,'Calibre-Ductos'!B2:E45,4,(FALSE))</f>
        <v>#N/A</v>
      </c>
      <c r="N61" s="2"/>
      <c r="O61" s="2" t="e">
        <f>VLOOKUP(N61,'Calibre-Ductos'!I3:P11,7,)</f>
        <v>#N/A</v>
      </c>
      <c r="P61" s="11" t="e">
        <f t="shared" si="25"/>
        <v>#N/A</v>
      </c>
      <c r="Q61" s="2" t="s">
        <v>16</v>
      </c>
      <c r="R61" s="2"/>
      <c r="S61" s="2"/>
      <c r="T61" s="2"/>
    </row>
    <row r="62" spans="1:20">
      <c r="A62" s="2">
        <v>7</v>
      </c>
      <c r="B62" s="2"/>
      <c r="C62" s="2"/>
      <c r="D62" s="2"/>
      <c r="E62" s="2">
        <f t="shared" si="20"/>
        <v>0</v>
      </c>
      <c r="F62" s="2">
        <f t="shared" si="21"/>
        <v>0</v>
      </c>
      <c r="G62" s="2">
        <v>120</v>
      </c>
      <c r="H62" s="2">
        <f t="shared" si="22"/>
        <v>0</v>
      </c>
      <c r="I62" s="2">
        <f t="shared" si="23"/>
        <v>0</v>
      </c>
      <c r="J62" s="2">
        <f t="shared" si="24"/>
        <v>20</v>
      </c>
      <c r="K62" s="2"/>
      <c r="L62" s="2"/>
      <c r="M62" s="2" t="e">
        <f>VLOOKUP(K62,'Calibre-Ductos'!B2:E45,4,(FALSE))</f>
        <v>#N/A</v>
      </c>
      <c r="N62" s="2"/>
      <c r="O62" s="2" t="e">
        <f>VLOOKUP(N62,'Calibre-Ductos'!I3:P11,7,)</f>
        <v>#N/A</v>
      </c>
      <c r="P62" s="11" t="e">
        <f t="shared" si="25"/>
        <v>#N/A</v>
      </c>
      <c r="Q62" s="2" t="s">
        <v>16</v>
      </c>
      <c r="R62" s="2"/>
      <c r="S62" s="2"/>
      <c r="T62" s="2"/>
    </row>
    <row r="63" spans="1:20">
      <c r="A63" s="2">
        <v>8</v>
      </c>
      <c r="B63" s="2"/>
      <c r="C63" s="2"/>
      <c r="D63" s="2"/>
      <c r="E63" s="2">
        <f t="shared" si="20"/>
        <v>0</v>
      </c>
      <c r="F63" s="2">
        <f t="shared" si="21"/>
        <v>0</v>
      </c>
      <c r="G63" s="2">
        <v>120</v>
      </c>
      <c r="H63" s="2">
        <f t="shared" si="22"/>
        <v>0</v>
      </c>
      <c r="I63" s="2">
        <f t="shared" si="23"/>
        <v>0</v>
      </c>
      <c r="J63" s="2">
        <f t="shared" si="24"/>
        <v>20</v>
      </c>
      <c r="K63" s="2"/>
      <c r="L63" s="2"/>
      <c r="M63" s="2" t="e">
        <f>VLOOKUP(K63,'Calibre-Ductos'!B2:E45,4,(FALSE))</f>
        <v>#N/A</v>
      </c>
      <c r="N63" s="2"/>
      <c r="O63" s="2" t="e">
        <f>VLOOKUP(N63,'Calibre-Ductos'!I3:P11,7,)</f>
        <v>#N/A</v>
      </c>
      <c r="P63" s="11" t="e">
        <f t="shared" si="25"/>
        <v>#N/A</v>
      </c>
      <c r="Q63" s="2" t="s">
        <v>16</v>
      </c>
      <c r="R63" s="2"/>
      <c r="S63" s="2"/>
      <c r="T63" s="2"/>
    </row>
    <row r="64" spans="1:20">
      <c r="A64" s="2">
        <v>9</v>
      </c>
      <c r="B64" s="2"/>
      <c r="C64" s="2"/>
      <c r="D64" s="2"/>
      <c r="E64" s="2">
        <f t="shared" si="20"/>
        <v>0</v>
      </c>
      <c r="F64" s="2">
        <f t="shared" si="21"/>
        <v>0</v>
      </c>
      <c r="G64" s="2">
        <v>120</v>
      </c>
      <c r="H64" s="2">
        <f t="shared" si="22"/>
        <v>0</v>
      </c>
      <c r="I64" s="2">
        <f t="shared" si="23"/>
        <v>0</v>
      </c>
      <c r="J64" s="2">
        <f t="shared" si="24"/>
        <v>20</v>
      </c>
      <c r="K64" s="2"/>
      <c r="L64" s="2"/>
      <c r="M64" s="2" t="e">
        <f>VLOOKUP(K64,'Calibre-Ductos'!B2:E45,4,(FALSE))</f>
        <v>#N/A</v>
      </c>
      <c r="N64" s="2"/>
      <c r="O64" s="2" t="e">
        <f>VLOOKUP(N64,'Calibre-Ductos'!I3:P11,7,)</f>
        <v>#N/A</v>
      </c>
      <c r="P64" s="11" t="e">
        <f t="shared" si="25"/>
        <v>#N/A</v>
      </c>
      <c r="Q64" s="2" t="s">
        <v>16</v>
      </c>
      <c r="R64" s="2"/>
      <c r="S64" s="2"/>
      <c r="T64" s="2"/>
    </row>
    <row r="65" spans="1:20">
      <c r="A65" s="2">
        <v>10</v>
      </c>
      <c r="B65" s="2"/>
      <c r="C65" s="2"/>
      <c r="D65" s="2"/>
      <c r="E65" s="2">
        <f t="shared" si="20"/>
        <v>0</v>
      </c>
      <c r="F65" s="2">
        <f t="shared" si="21"/>
        <v>0</v>
      </c>
      <c r="G65" s="2">
        <v>120</v>
      </c>
      <c r="H65" s="2">
        <f t="shared" si="22"/>
        <v>0</v>
      </c>
      <c r="I65" s="2">
        <f t="shared" si="23"/>
        <v>0</v>
      </c>
      <c r="J65" s="2">
        <f t="shared" si="24"/>
        <v>20</v>
      </c>
      <c r="K65" s="2"/>
      <c r="L65" s="2"/>
      <c r="M65" s="2" t="e">
        <f>VLOOKUP(K65,'Calibre-Ductos'!B2:E45,4,(FALSE))</f>
        <v>#N/A</v>
      </c>
      <c r="N65" s="2"/>
      <c r="O65" s="2" t="e">
        <f>VLOOKUP(N65,'Calibre-Ductos'!I3:P11,7,)</f>
        <v>#N/A</v>
      </c>
      <c r="P65" s="11" t="e">
        <f t="shared" si="25"/>
        <v>#N/A</v>
      </c>
      <c r="Q65" s="2" t="s">
        <v>16</v>
      </c>
      <c r="R65" s="2"/>
      <c r="S65" s="2"/>
      <c r="T65" s="2"/>
    </row>
    <row r="66" spans="1:20">
      <c r="A66" s="2" t="s">
        <v>169</v>
      </c>
      <c r="B66" s="2"/>
      <c r="C66" s="2"/>
      <c r="D66" s="2"/>
      <c r="E66" s="2">
        <f>SUM(E56:E65)</f>
        <v>0</v>
      </c>
      <c r="F66" s="2">
        <f t="shared" si="21"/>
        <v>0</v>
      </c>
      <c r="G66" s="2">
        <v>120</v>
      </c>
      <c r="H66" s="2">
        <f t="shared" si="22"/>
        <v>0</v>
      </c>
      <c r="I66" s="2">
        <f t="shared" si="23"/>
        <v>0</v>
      </c>
      <c r="J66" s="2">
        <f t="shared" si="24"/>
        <v>20</v>
      </c>
      <c r="K66" s="2"/>
      <c r="L66" s="2"/>
      <c r="M66" s="2" t="e">
        <f>VLOOKUP(K66,'Calibre-Ductos'!B2:E45,4,(FALSE))</f>
        <v>#N/A</v>
      </c>
      <c r="N66" s="2"/>
      <c r="O66" s="2" t="e">
        <f>VLOOKUP(N66,'Calibre-Ductos'!I3:P11,7,)</f>
        <v>#N/A</v>
      </c>
      <c r="P66" s="11" t="e">
        <f t="shared" si="25"/>
        <v>#N/A</v>
      </c>
      <c r="Q66" s="2" t="s">
        <v>16</v>
      </c>
      <c r="R66" s="2"/>
      <c r="S66" s="2"/>
      <c r="T66" s="2"/>
    </row>
    <row r="67" spans="1:20">
      <c r="A67" s="337" t="s">
        <v>170</v>
      </c>
      <c r="B67" s="337"/>
      <c r="C67" s="337"/>
      <c r="D67" s="2"/>
      <c r="E67" s="2">
        <f>E66*D67</f>
        <v>0</v>
      </c>
      <c r="F67" s="2">
        <f t="shared" si="21"/>
        <v>0</v>
      </c>
    </row>
    <row r="70" spans="1:20">
      <c r="A70" s="331" t="s">
        <v>18</v>
      </c>
      <c r="B70" s="331"/>
      <c r="C70" s="331"/>
      <c r="D70" s="331"/>
      <c r="E70" s="331"/>
      <c r="F70" s="331"/>
      <c r="G70" s="331"/>
      <c r="H70" s="331"/>
      <c r="I70" s="331"/>
      <c r="J70" s="331"/>
      <c r="K70" s="331"/>
      <c r="L70" s="331"/>
      <c r="M70" s="331"/>
      <c r="N70" s="331"/>
      <c r="O70" s="331"/>
      <c r="P70" s="331"/>
      <c r="Q70" s="331"/>
      <c r="R70" s="331"/>
      <c r="S70" s="331"/>
      <c r="T70" s="331"/>
    </row>
    <row r="71" spans="1:20">
      <c r="A71" s="334" t="s">
        <v>19</v>
      </c>
      <c r="B71" s="334" t="s">
        <v>25</v>
      </c>
      <c r="C71" s="328" t="s">
        <v>0</v>
      </c>
      <c r="D71" s="330"/>
      <c r="E71" s="328" t="s">
        <v>1</v>
      </c>
      <c r="F71" s="330"/>
      <c r="G71" s="3" t="s">
        <v>2</v>
      </c>
      <c r="H71" s="328" t="s">
        <v>3</v>
      </c>
      <c r="I71" s="330"/>
      <c r="J71" s="3" t="s">
        <v>4</v>
      </c>
      <c r="K71" s="326" t="s">
        <v>20</v>
      </c>
      <c r="L71" s="326" t="s">
        <v>21</v>
      </c>
      <c r="M71" s="336" t="s">
        <v>22</v>
      </c>
      <c r="N71" s="336" t="s">
        <v>23</v>
      </c>
      <c r="O71" s="336" t="s">
        <v>22</v>
      </c>
      <c r="P71" s="326" t="s">
        <v>24</v>
      </c>
      <c r="Q71" s="328" t="s">
        <v>5</v>
      </c>
      <c r="R71" s="329"/>
      <c r="S71" s="330"/>
      <c r="T71" s="332" t="s">
        <v>15</v>
      </c>
    </row>
    <row r="72" spans="1:20">
      <c r="A72" s="335"/>
      <c r="B72" s="335"/>
      <c r="C72" s="4" t="s">
        <v>6</v>
      </c>
      <c r="D72" s="4" t="s">
        <v>7</v>
      </c>
      <c r="E72" s="4" t="s">
        <v>8</v>
      </c>
      <c r="F72" s="4" t="s">
        <v>9</v>
      </c>
      <c r="G72" s="4" t="s">
        <v>10</v>
      </c>
      <c r="H72" s="4" t="s">
        <v>11</v>
      </c>
      <c r="I72" s="4" t="s">
        <v>26</v>
      </c>
      <c r="J72" s="4" t="s">
        <v>27</v>
      </c>
      <c r="K72" s="327"/>
      <c r="L72" s="327"/>
      <c r="M72" s="335"/>
      <c r="N72" s="335"/>
      <c r="O72" s="335"/>
      <c r="P72" s="327"/>
      <c r="Q72" s="5" t="s">
        <v>12</v>
      </c>
      <c r="R72" s="5" t="s">
        <v>13</v>
      </c>
      <c r="S72" s="5" t="s">
        <v>14</v>
      </c>
      <c r="T72" s="333"/>
    </row>
    <row r="73" spans="1:20">
      <c r="A73" s="2">
        <v>1</v>
      </c>
      <c r="B73" s="2"/>
      <c r="C73" s="2"/>
      <c r="D73" s="2"/>
      <c r="E73" s="2">
        <f>(B73*9)+(C73*162)+(D73*162)</f>
        <v>0</v>
      </c>
      <c r="F73" s="2">
        <f>E73/0.9</f>
        <v>0</v>
      </c>
      <c r="G73" s="2">
        <v>120</v>
      </c>
      <c r="H73" s="2">
        <f>F73/G73</f>
        <v>0</v>
      </c>
      <c r="I73" s="2">
        <f>H73*1.15</f>
        <v>0</v>
      </c>
      <c r="J73" s="2">
        <f>IF(I73&lt;20,20,IF(I73&lt;30,30,IF(I73&lt;40,40,1)))</f>
        <v>20</v>
      </c>
      <c r="K73" s="2">
        <v>12</v>
      </c>
      <c r="L73" s="2">
        <v>3</v>
      </c>
      <c r="M73" s="2">
        <f>VLOOKUP(K73,'Calibre-Ductos'!B2:E45,4,(FALSE))</f>
        <v>16.8</v>
      </c>
      <c r="N73" s="2">
        <v>0.5</v>
      </c>
      <c r="O73" s="2">
        <f>VLOOKUP(N73,'Calibre-Ductos'!I3:P11,7,)</f>
        <v>263</v>
      </c>
      <c r="P73" s="11">
        <f>((L73*M73)/O73)*100</f>
        <v>19.163498098859318</v>
      </c>
      <c r="Q73" s="2" t="s">
        <v>16</v>
      </c>
      <c r="R73" s="2"/>
      <c r="S73" s="2"/>
      <c r="T73" s="2"/>
    </row>
    <row r="74" spans="1:20">
      <c r="A74" s="2">
        <v>2</v>
      </c>
      <c r="B74" s="2"/>
      <c r="C74" s="2"/>
      <c r="D74" s="2"/>
      <c r="E74" s="2">
        <f t="shared" ref="E74:E82" si="26">(B74*9)+(C74*162)+(D74*162)</f>
        <v>0</v>
      </c>
      <c r="F74" s="2">
        <f t="shared" ref="F74:F84" si="27">E74/0.9</f>
        <v>0</v>
      </c>
      <c r="G74" s="2">
        <v>120</v>
      </c>
      <c r="H74" s="2">
        <f t="shared" ref="H74:H83" si="28">F74/G74</f>
        <v>0</v>
      </c>
      <c r="I74" s="2">
        <f t="shared" ref="I74:I83" si="29">H74*1.15</f>
        <v>0</v>
      </c>
      <c r="J74" s="2">
        <f t="shared" ref="J74:J83" si="30">IF(I74&lt;20,20,IF(I74&lt;30,30,IF(I74&lt;40,40,1)))</f>
        <v>20</v>
      </c>
      <c r="K74" s="2"/>
      <c r="L74" s="2"/>
      <c r="M74" s="2" t="e">
        <f>VLOOKUP(K74,'Calibre-Ductos'!B2:E45,4,(FALSE))</f>
        <v>#N/A</v>
      </c>
      <c r="N74" s="2"/>
      <c r="O74" s="2" t="e">
        <f>VLOOKUP(N74,'Calibre-Ductos'!I3:P11,7,)</f>
        <v>#N/A</v>
      </c>
      <c r="P74" s="11" t="e">
        <f t="shared" ref="P74:P83" si="31">((L74*M74)/O74)*100</f>
        <v>#N/A</v>
      </c>
      <c r="Q74" s="2" t="s">
        <v>16</v>
      </c>
      <c r="R74" s="2"/>
      <c r="S74" s="2"/>
      <c r="T74" s="2"/>
    </row>
    <row r="75" spans="1:20">
      <c r="A75" s="2">
        <v>3</v>
      </c>
      <c r="B75" s="2"/>
      <c r="C75" s="2"/>
      <c r="D75" s="2"/>
      <c r="E75" s="2">
        <f t="shared" si="26"/>
        <v>0</v>
      </c>
      <c r="F75" s="2">
        <f t="shared" si="27"/>
        <v>0</v>
      </c>
      <c r="G75" s="2">
        <v>120</v>
      </c>
      <c r="H75" s="2">
        <f t="shared" si="28"/>
        <v>0</v>
      </c>
      <c r="I75" s="2">
        <f t="shared" si="29"/>
        <v>0</v>
      </c>
      <c r="J75" s="2">
        <f t="shared" si="30"/>
        <v>20</v>
      </c>
      <c r="K75" s="2"/>
      <c r="L75" s="2"/>
      <c r="M75" s="2" t="e">
        <f>VLOOKUP(K75,'Calibre-Ductos'!B2:E45,4,(FALSE))</f>
        <v>#N/A</v>
      </c>
      <c r="N75" s="2"/>
      <c r="O75" s="2" t="e">
        <f>VLOOKUP(N75,'Calibre-Ductos'!I3:P11,7,)</f>
        <v>#N/A</v>
      </c>
      <c r="P75" s="11" t="e">
        <f t="shared" si="31"/>
        <v>#N/A</v>
      </c>
      <c r="Q75" s="2" t="s">
        <v>16</v>
      </c>
      <c r="R75" s="2"/>
      <c r="S75" s="2"/>
      <c r="T75" s="2"/>
    </row>
    <row r="76" spans="1:20">
      <c r="A76" s="2">
        <v>4</v>
      </c>
      <c r="B76" s="2"/>
      <c r="C76" s="2"/>
      <c r="D76" s="2"/>
      <c r="E76" s="2">
        <f t="shared" si="26"/>
        <v>0</v>
      </c>
      <c r="F76" s="2">
        <f t="shared" si="27"/>
        <v>0</v>
      </c>
      <c r="G76" s="2">
        <v>120</v>
      </c>
      <c r="H76" s="2">
        <f t="shared" si="28"/>
        <v>0</v>
      </c>
      <c r="I76" s="2">
        <f t="shared" si="29"/>
        <v>0</v>
      </c>
      <c r="J76" s="2">
        <f t="shared" si="30"/>
        <v>20</v>
      </c>
      <c r="K76" s="2"/>
      <c r="L76" s="2"/>
      <c r="M76" s="2" t="e">
        <f>VLOOKUP(K76,'Calibre-Ductos'!B2:E45,4,(FALSE))</f>
        <v>#N/A</v>
      </c>
      <c r="N76" s="2"/>
      <c r="O76" s="2" t="e">
        <f>VLOOKUP(N76,'Calibre-Ductos'!I3:P11,7,)</f>
        <v>#N/A</v>
      </c>
      <c r="P76" s="11" t="e">
        <f t="shared" si="31"/>
        <v>#N/A</v>
      </c>
      <c r="Q76" s="2" t="s">
        <v>16</v>
      </c>
      <c r="R76" s="2"/>
      <c r="S76" s="2"/>
      <c r="T76" s="2"/>
    </row>
    <row r="77" spans="1:20">
      <c r="A77" s="2">
        <v>5</v>
      </c>
      <c r="B77" s="2"/>
      <c r="C77" s="2"/>
      <c r="D77" s="2"/>
      <c r="E77" s="2">
        <f t="shared" si="26"/>
        <v>0</v>
      </c>
      <c r="F77" s="2">
        <f t="shared" si="27"/>
        <v>0</v>
      </c>
      <c r="G77" s="2">
        <v>120</v>
      </c>
      <c r="H77" s="2">
        <f t="shared" si="28"/>
        <v>0</v>
      </c>
      <c r="I77" s="2">
        <f t="shared" si="29"/>
        <v>0</v>
      </c>
      <c r="J77" s="2">
        <f t="shared" si="30"/>
        <v>20</v>
      </c>
      <c r="K77" s="2"/>
      <c r="L77" s="2"/>
      <c r="M77" s="2" t="e">
        <f>VLOOKUP(K77,'Calibre-Ductos'!B2:E45,4,(FALSE))</f>
        <v>#N/A</v>
      </c>
      <c r="N77" s="2"/>
      <c r="O77" s="2" t="e">
        <f>VLOOKUP(N77,'Calibre-Ductos'!I3:P11,7,)</f>
        <v>#N/A</v>
      </c>
      <c r="P77" s="11" t="e">
        <f t="shared" si="31"/>
        <v>#N/A</v>
      </c>
      <c r="Q77" s="2" t="s">
        <v>16</v>
      </c>
      <c r="R77" s="2"/>
      <c r="S77" s="2"/>
      <c r="T77" s="2"/>
    </row>
    <row r="78" spans="1:20">
      <c r="A78" s="2">
        <v>6</v>
      </c>
      <c r="B78" s="2"/>
      <c r="C78" s="2"/>
      <c r="D78" s="2"/>
      <c r="E78" s="2">
        <f t="shared" si="26"/>
        <v>0</v>
      </c>
      <c r="F78" s="2">
        <f t="shared" si="27"/>
        <v>0</v>
      </c>
      <c r="G78" s="2">
        <v>120</v>
      </c>
      <c r="H78" s="2">
        <f t="shared" si="28"/>
        <v>0</v>
      </c>
      <c r="I78" s="2">
        <f t="shared" si="29"/>
        <v>0</v>
      </c>
      <c r="J78" s="2">
        <f t="shared" si="30"/>
        <v>20</v>
      </c>
      <c r="K78" s="2"/>
      <c r="L78" s="2"/>
      <c r="M78" s="2" t="e">
        <f>VLOOKUP(K78,'Calibre-Ductos'!B2:E45,4,(FALSE))</f>
        <v>#N/A</v>
      </c>
      <c r="N78" s="2"/>
      <c r="O78" s="2" t="e">
        <f>VLOOKUP(N78,'Calibre-Ductos'!I3:P11,7,)</f>
        <v>#N/A</v>
      </c>
      <c r="P78" s="11" t="e">
        <f t="shared" si="31"/>
        <v>#N/A</v>
      </c>
      <c r="Q78" s="2" t="s">
        <v>16</v>
      </c>
      <c r="R78" s="2"/>
      <c r="S78" s="2"/>
      <c r="T78" s="2"/>
    </row>
    <row r="79" spans="1:20">
      <c r="A79" s="2">
        <v>7</v>
      </c>
      <c r="B79" s="2"/>
      <c r="C79" s="2"/>
      <c r="D79" s="2"/>
      <c r="E79" s="2">
        <f t="shared" si="26"/>
        <v>0</v>
      </c>
      <c r="F79" s="2">
        <f t="shared" si="27"/>
        <v>0</v>
      </c>
      <c r="G79" s="2">
        <v>120</v>
      </c>
      <c r="H79" s="2">
        <f t="shared" si="28"/>
        <v>0</v>
      </c>
      <c r="I79" s="2">
        <f t="shared" si="29"/>
        <v>0</v>
      </c>
      <c r="J79" s="2">
        <f t="shared" si="30"/>
        <v>20</v>
      </c>
      <c r="K79" s="2"/>
      <c r="L79" s="2"/>
      <c r="M79" s="2" t="e">
        <f>VLOOKUP(K79,'Calibre-Ductos'!B2:E45,4,(FALSE))</f>
        <v>#N/A</v>
      </c>
      <c r="N79" s="2"/>
      <c r="O79" s="2" t="e">
        <f>VLOOKUP(N79,'Calibre-Ductos'!I3:P11,7,)</f>
        <v>#N/A</v>
      </c>
      <c r="P79" s="11" t="e">
        <f t="shared" si="31"/>
        <v>#N/A</v>
      </c>
      <c r="Q79" s="2" t="s">
        <v>16</v>
      </c>
      <c r="R79" s="2"/>
      <c r="S79" s="2"/>
      <c r="T79" s="2"/>
    </row>
    <row r="80" spans="1:20">
      <c r="A80" s="2">
        <v>8</v>
      </c>
      <c r="B80" s="2"/>
      <c r="C80" s="2"/>
      <c r="D80" s="2"/>
      <c r="E80" s="2">
        <f t="shared" si="26"/>
        <v>0</v>
      </c>
      <c r="F80" s="2">
        <f t="shared" si="27"/>
        <v>0</v>
      </c>
      <c r="G80" s="2">
        <v>120</v>
      </c>
      <c r="H80" s="2">
        <f t="shared" si="28"/>
        <v>0</v>
      </c>
      <c r="I80" s="2">
        <f t="shared" si="29"/>
        <v>0</v>
      </c>
      <c r="J80" s="2">
        <f t="shared" si="30"/>
        <v>20</v>
      </c>
      <c r="K80" s="2"/>
      <c r="L80" s="2"/>
      <c r="M80" s="2" t="e">
        <f>VLOOKUP(K80,'Calibre-Ductos'!B2:E45,4,(FALSE))</f>
        <v>#N/A</v>
      </c>
      <c r="N80" s="2"/>
      <c r="O80" s="2" t="e">
        <f>VLOOKUP(N80,'Calibre-Ductos'!I3:P11,7,)</f>
        <v>#N/A</v>
      </c>
      <c r="P80" s="11" t="e">
        <f t="shared" si="31"/>
        <v>#N/A</v>
      </c>
      <c r="Q80" s="2" t="s">
        <v>16</v>
      </c>
      <c r="R80" s="2"/>
      <c r="S80" s="2"/>
      <c r="T80" s="2"/>
    </row>
    <row r="81" spans="1:20">
      <c r="A81" s="2">
        <v>9</v>
      </c>
      <c r="B81" s="2"/>
      <c r="C81" s="2"/>
      <c r="D81" s="2"/>
      <c r="E81" s="2">
        <f t="shared" si="26"/>
        <v>0</v>
      </c>
      <c r="F81" s="2">
        <f t="shared" si="27"/>
        <v>0</v>
      </c>
      <c r="G81" s="2">
        <v>120</v>
      </c>
      <c r="H81" s="2">
        <f t="shared" si="28"/>
        <v>0</v>
      </c>
      <c r="I81" s="2">
        <f t="shared" si="29"/>
        <v>0</v>
      </c>
      <c r="J81" s="2">
        <f t="shared" si="30"/>
        <v>20</v>
      </c>
      <c r="K81" s="2"/>
      <c r="L81" s="2"/>
      <c r="M81" s="2" t="e">
        <f>VLOOKUP(K81,'Calibre-Ductos'!B2:E45,4,(FALSE))</f>
        <v>#N/A</v>
      </c>
      <c r="N81" s="2"/>
      <c r="O81" s="2" t="e">
        <f>VLOOKUP(N81,'Calibre-Ductos'!I3:P11,7,)</f>
        <v>#N/A</v>
      </c>
      <c r="P81" s="11" t="e">
        <f t="shared" si="31"/>
        <v>#N/A</v>
      </c>
      <c r="Q81" s="2" t="s">
        <v>16</v>
      </c>
      <c r="R81" s="2"/>
      <c r="S81" s="2"/>
      <c r="T81" s="2"/>
    </row>
    <row r="82" spans="1:20">
      <c r="A82" s="2">
        <v>10</v>
      </c>
      <c r="B82" s="2"/>
      <c r="C82" s="2"/>
      <c r="D82" s="2"/>
      <c r="E82" s="2">
        <f t="shared" si="26"/>
        <v>0</v>
      </c>
      <c r="F82" s="2">
        <f t="shared" si="27"/>
        <v>0</v>
      </c>
      <c r="G82" s="2">
        <v>120</v>
      </c>
      <c r="H82" s="2">
        <f t="shared" si="28"/>
        <v>0</v>
      </c>
      <c r="I82" s="2">
        <f t="shared" si="29"/>
        <v>0</v>
      </c>
      <c r="J82" s="2">
        <f t="shared" si="30"/>
        <v>20</v>
      </c>
      <c r="K82" s="2"/>
      <c r="L82" s="2"/>
      <c r="M82" s="2" t="e">
        <f>VLOOKUP(K82,'Calibre-Ductos'!B2:E45,4,(FALSE))</f>
        <v>#N/A</v>
      </c>
      <c r="N82" s="2"/>
      <c r="O82" s="2" t="e">
        <f>VLOOKUP(N82,'Calibre-Ductos'!I3:P11,7,)</f>
        <v>#N/A</v>
      </c>
      <c r="P82" s="11" t="e">
        <f t="shared" si="31"/>
        <v>#N/A</v>
      </c>
      <c r="Q82" s="2" t="s">
        <v>16</v>
      </c>
      <c r="R82" s="2"/>
      <c r="S82" s="2"/>
      <c r="T82" s="2"/>
    </row>
    <row r="83" spans="1:20">
      <c r="A83" s="2" t="s">
        <v>169</v>
      </c>
      <c r="B83" s="2"/>
      <c r="C83" s="2"/>
      <c r="D83" s="2"/>
      <c r="E83" s="2">
        <f>SUM(E73:E82)</f>
        <v>0</v>
      </c>
      <c r="F83" s="2">
        <f t="shared" si="27"/>
        <v>0</v>
      </c>
      <c r="G83" s="2">
        <v>120</v>
      </c>
      <c r="H83" s="2">
        <f t="shared" si="28"/>
        <v>0</v>
      </c>
      <c r="I83" s="2">
        <f t="shared" si="29"/>
        <v>0</v>
      </c>
      <c r="J83" s="2">
        <f t="shared" si="30"/>
        <v>20</v>
      </c>
      <c r="K83" s="2"/>
      <c r="L83" s="2"/>
      <c r="M83" s="2" t="e">
        <f>VLOOKUP(K83,'Calibre-Ductos'!B2:E45,4,(FALSE))</f>
        <v>#N/A</v>
      </c>
      <c r="N83" s="2"/>
      <c r="O83" s="2" t="e">
        <f>VLOOKUP(N83,'Calibre-Ductos'!I3:P11,7,)</f>
        <v>#N/A</v>
      </c>
      <c r="P83" s="11" t="e">
        <f t="shared" si="31"/>
        <v>#N/A</v>
      </c>
      <c r="Q83" s="2" t="s">
        <v>16</v>
      </c>
      <c r="R83" s="2"/>
      <c r="S83" s="2"/>
      <c r="T83" s="2"/>
    </row>
    <row r="84" spans="1:20">
      <c r="A84" s="337" t="s">
        <v>170</v>
      </c>
      <c r="B84" s="337"/>
      <c r="C84" s="337"/>
      <c r="D84" s="2"/>
      <c r="E84" s="2">
        <f>E83*D84</f>
        <v>0</v>
      </c>
      <c r="F84" s="2">
        <f t="shared" si="27"/>
        <v>0</v>
      </c>
    </row>
    <row r="87" spans="1:20">
      <c r="A87" s="331" t="s">
        <v>18</v>
      </c>
      <c r="B87" s="331"/>
      <c r="C87" s="331"/>
      <c r="D87" s="331"/>
      <c r="E87" s="331"/>
      <c r="F87" s="331"/>
      <c r="G87" s="331"/>
      <c r="H87" s="331"/>
      <c r="I87" s="331"/>
      <c r="J87" s="331"/>
      <c r="K87" s="331"/>
      <c r="L87" s="331"/>
      <c r="M87" s="331"/>
      <c r="N87" s="331"/>
      <c r="O87" s="331"/>
      <c r="P87" s="331"/>
      <c r="Q87" s="331"/>
      <c r="R87" s="331"/>
      <c r="S87" s="331"/>
      <c r="T87" s="331"/>
    </row>
    <row r="88" spans="1:20">
      <c r="A88" s="334" t="s">
        <v>19</v>
      </c>
      <c r="B88" s="334" t="s">
        <v>25</v>
      </c>
      <c r="C88" s="328" t="s">
        <v>0</v>
      </c>
      <c r="D88" s="330"/>
      <c r="E88" s="328" t="s">
        <v>1</v>
      </c>
      <c r="F88" s="330"/>
      <c r="G88" s="3" t="s">
        <v>2</v>
      </c>
      <c r="H88" s="328" t="s">
        <v>3</v>
      </c>
      <c r="I88" s="330"/>
      <c r="J88" s="3" t="s">
        <v>4</v>
      </c>
      <c r="K88" s="326" t="s">
        <v>20</v>
      </c>
      <c r="L88" s="326" t="s">
        <v>21</v>
      </c>
      <c r="M88" s="336" t="s">
        <v>22</v>
      </c>
      <c r="N88" s="336" t="s">
        <v>23</v>
      </c>
      <c r="O88" s="336" t="s">
        <v>22</v>
      </c>
      <c r="P88" s="326" t="s">
        <v>24</v>
      </c>
      <c r="Q88" s="328" t="s">
        <v>5</v>
      </c>
      <c r="R88" s="329"/>
      <c r="S88" s="330"/>
      <c r="T88" s="332" t="s">
        <v>15</v>
      </c>
    </row>
    <row r="89" spans="1:20">
      <c r="A89" s="335"/>
      <c r="B89" s="335"/>
      <c r="C89" s="4" t="s">
        <v>6</v>
      </c>
      <c r="D89" s="4" t="s">
        <v>7</v>
      </c>
      <c r="E89" s="4" t="s">
        <v>8</v>
      </c>
      <c r="F89" s="4" t="s">
        <v>9</v>
      </c>
      <c r="G89" s="4" t="s">
        <v>10</v>
      </c>
      <c r="H89" s="4" t="s">
        <v>11</v>
      </c>
      <c r="I89" s="4" t="s">
        <v>26</v>
      </c>
      <c r="J89" s="4" t="s">
        <v>27</v>
      </c>
      <c r="K89" s="327"/>
      <c r="L89" s="327"/>
      <c r="M89" s="335"/>
      <c r="N89" s="335"/>
      <c r="O89" s="335"/>
      <c r="P89" s="327"/>
      <c r="Q89" s="5" t="s">
        <v>12</v>
      </c>
      <c r="R89" s="5" t="s">
        <v>13</v>
      </c>
      <c r="S89" s="5" t="s">
        <v>14</v>
      </c>
      <c r="T89" s="333"/>
    </row>
    <row r="90" spans="1:20">
      <c r="A90" s="2">
        <v>1</v>
      </c>
      <c r="B90" s="2"/>
      <c r="C90" s="2"/>
      <c r="D90" s="2"/>
      <c r="E90" s="2">
        <f>(B90*9)+(C90*162)+(D90*162)</f>
        <v>0</v>
      </c>
      <c r="F90" s="2">
        <f>E90/0.9</f>
        <v>0</v>
      </c>
      <c r="G90" s="2">
        <v>120</v>
      </c>
      <c r="H90" s="2">
        <f>F90/G90</f>
        <v>0</v>
      </c>
      <c r="I90" s="2">
        <f>H90*1.15</f>
        <v>0</v>
      </c>
      <c r="J90" s="2">
        <f>IF(I90&lt;20,20,IF(I90&lt;30,30,IF(I90&lt;40,40,1)))</f>
        <v>20</v>
      </c>
      <c r="K90" s="2">
        <v>12</v>
      </c>
      <c r="L90" s="2">
        <v>3</v>
      </c>
      <c r="M90" s="2">
        <f>VLOOKUP(K90,'Calibre-Ductos'!B2:E45,4,(FALSE))</f>
        <v>16.8</v>
      </c>
      <c r="N90" s="2">
        <v>0.5</v>
      </c>
      <c r="O90" s="2">
        <f>VLOOKUP(N90,'Calibre-Ductos'!I3:P11,7,)</f>
        <v>263</v>
      </c>
      <c r="P90" s="11">
        <f>((L90*M90)/O90)*100</f>
        <v>19.163498098859318</v>
      </c>
      <c r="Q90" s="2" t="s">
        <v>16</v>
      </c>
      <c r="R90" s="2"/>
      <c r="S90" s="2"/>
      <c r="T90" s="2"/>
    </row>
    <row r="91" spans="1:20">
      <c r="A91" s="2">
        <v>2</v>
      </c>
      <c r="B91" s="2"/>
      <c r="C91" s="2"/>
      <c r="D91" s="2"/>
      <c r="E91" s="2">
        <f t="shared" ref="E91:E99" si="32">(B91*9)+(C91*162)+(D91*162)</f>
        <v>0</v>
      </c>
      <c r="F91" s="2">
        <f t="shared" ref="F91:F101" si="33">E91/0.9</f>
        <v>0</v>
      </c>
      <c r="G91" s="2">
        <v>120</v>
      </c>
      <c r="H91" s="2">
        <f t="shared" ref="H91:H100" si="34">F91/G91</f>
        <v>0</v>
      </c>
      <c r="I91" s="2">
        <f t="shared" ref="I91:I100" si="35">H91*1.15</f>
        <v>0</v>
      </c>
      <c r="J91" s="2">
        <f t="shared" ref="J91:J100" si="36">IF(I91&lt;20,20,IF(I91&lt;30,30,IF(I91&lt;40,40,1)))</f>
        <v>20</v>
      </c>
      <c r="K91" s="2"/>
      <c r="L91" s="2"/>
      <c r="M91" s="2" t="e">
        <f>VLOOKUP(K91,'Calibre-Ductos'!B2:E45,4,(FALSE))</f>
        <v>#N/A</v>
      </c>
      <c r="N91" s="2"/>
      <c r="O91" s="2" t="e">
        <f>VLOOKUP(N91,'Calibre-Ductos'!I3:P11,7,)</f>
        <v>#N/A</v>
      </c>
      <c r="P91" s="11" t="e">
        <f t="shared" ref="P91:P100" si="37">((L91*M91)/O91)*100</f>
        <v>#N/A</v>
      </c>
      <c r="Q91" s="2" t="s">
        <v>16</v>
      </c>
      <c r="R91" s="2"/>
      <c r="S91" s="2"/>
      <c r="T91" s="2"/>
    </row>
    <row r="92" spans="1:20">
      <c r="A92" s="2">
        <v>3</v>
      </c>
      <c r="B92" s="2"/>
      <c r="C92" s="2"/>
      <c r="D92" s="2"/>
      <c r="E92" s="2">
        <f t="shared" si="32"/>
        <v>0</v>
      </c>
      <c r="F92" s="2">
        <f t="shared" si="33"/>
        <v>0</v>
      </c>
      <c r="G92" s="2">
        <v>120</v>
      </c>
      <c r="H92" s="2">
        <f t="shared" si="34"/>
        <v>0</v>
      </c>
      <c r="I92" s="2">
        <f t="shared" si="35"/>
        <v>0</v>
      </c>
      <c r="J92" s="2">
        <f t="shared" si="36"/>
        <v>20</v>
      </c>
      <c r="K92" s="2"/>
      <c r="L92" s="2"/>
      <c r="M92" s="2" t="e">
        <f>VLOOKUP(K92,'Calibre-Ductos'!B2:E45,4,(FALSE))</f>
        <v>#N/A</v>
      </c>
      <c r="N92" s="2"/>
      <c r="O92" s="2" t="e">
        <f>VLOOKUP(N92,'Calibre-Ductos'!I3:P11,7,)</f>
        <v>#N/A</v>
      </c>
      <c r="P92" s="11" t="e">
        <f t="shared" si="37"/>
        <v>#N/A</v>
      </c>
      <c r="Q92" s="2" t="s">
        <v>16</v>
      </c>
      <c r="R92" s="2"/>
      <c r="S92" s="2"/>
      <c r="T92" s="2"/>
    </row>
    <row r="93" spans="1:20">
      <c r="A93" s="2">
        <v>4</v>
      </c>
      <c r="B93" s="2"/>
      <c r="C93" s="2"/>
      <c r="D93" s="2"/>
      <c r="E93" s="2">
        <f t="shared" si="32"/>
        <v>0</v>
      </c>
      <c r="F93" s="2">
        <f t="shared" si="33"/>
        <v>0</v>
      </c>
      <c r="G93" s="2">
        <v>120</v>
      </c>
      <c r="H93" s="2">
        <f t="shared" si="34"/>
        <v>0</v>
      </c>
      <c r="I93" s="2">
        <f t="shared" si="35"/>
        <v>0</v>
      </c>
      <c r="J93" s="2">
        <f t="shared" si="36"/>
        <v>20</v>
      </c>
      <c r="K93" s="2"/>
      <c r="L93" s="2"/>
      <c r="M93" s="2" t="e">
        <f>VLOOKUP(K93,'Calibre-Ductos'!B2:E45,4,(FALSE))</f>
        <v>#N/A</v>
      </c>
      <c r="N93" s="2"/>
      <c r="O93" s="2" t="e">
        <f>VLOOKUP(N93,'Calibre-Ductos'!I3:P11,7,)</f>
        <v>#N/A</v>
      </c>
      <c r="P93" s="11" t="e">
        <f t="shared" si="37"/>
        <v>#N/A</v>
      </c>
      <c r="Q93" s="2" t="s">
        <v>16</v>
      </c>
      <c r="R93" s="2"/>
      <c r="S93" s="2"/>
      <c r="T93" s="2"/>
    </row>
    <row r="94" spans="1:20">
      <c r="A94" s="2">
        <v>5</v>
      </c>
      <c r="B94" s="2"/>
      <c r="C94" s="2"/>
      <c r="D94" s="2"/>
      <c r="E94" s="2">
        <f t="shared" si="32"/>
        <v>0</v>
      </c>
      <c r="F94" s="2">
        <f t="shared" si="33"/>
        <v>0</v>
      </c>
      <c r="G94" s="2">
        <v>120</v>
      </c>
      <c r="H94" s="2">
        <f t="shared" si="34"/>
        <v>0</v>
      </c>
      <c r="I94" s="2">
        <f t="shared" si="35"/>
        <v>0</v>
      </c>
      <c r="J94" s="2">
        <f t="shared" si="36"/>
        <v>20</v>
      </c>
      <c r="K94" s="2"/>
      <c r="L94" s="2"/>
      <c r="M94" s="2" t="e">
        <f>VLOOKUP(K94,'Calibre-Ductos'!B2:E45,4,(FALSE))</f>
        <v>#N/A</v>
      </c>
      <c r="N94" s="2"/>
      <c r="O94" s="2" t="e">
        <f>VLOOKUP(N94,'Calibre-Ductos'!I3:P11,7,)</f>
        <v>#N/A</v>
      </c>
      <c r="P94" s="11" t="e">
        <f t="shared" si="37"/>
        <v>#N/A</v>
      </c>
      <c r="Q94" s="2" t="s">
        <v>16</v>
      </c>
      <c r="R94" s="2"/>
      <c r="S94" s="2"/>
      <c r="T94" s="2"/>
    </row>
    <row r="95" spans="1:20">
      <c r="A95" s="2">
        <v>6</v>
      </c>
      <c r="B95" s="2"/>
      <c r="C95" s="2"/>
      <c r="D95" s="2"/>
      <c r="E95" s="2">
        <f t="shared" si="32"/>
        <v>0</v>
      </c>
      <c r="F95" s="2">
        <f t="shared" si="33"/>
        <v>0</v>
      </c>
      <c r="G95" s="2">
        <v>120</v>
      </c>
      <c r="H95" s="2">
        <f t="shared" si="34"/>
        <v>0</v>
      </c>
      <c r="I95" s="2">
        <f t="shared" si="35"/>
        <v>0</v>
      </c>
      <c r="J95" s="2">
        <f t="shared" si="36"/>
        <v>20</v>
      </c>
      <c r="K95" s="2"/>
      <c r="L95" s="2"/>
      <c r="M95" s="2" t="e">
        <f>VLOOKUP(K95,'Calibre-Ductos'!B2:E45,4,(FALSE))</f>
        <v>#N/A</v>
      </c>
      <c r="N95" s="2"/>
      <c r="O95" s="2" t="e">
        <f>VLOOKUP(N95,'Calibre-Ductos'!I3:P11,7,)</f>
        <v>#N/A</v>
      </c>
      <c r="P95" s="11" t="e">
        <f t="shared" si="37"/>
        <v>#N/A</v>
      </c>
      <c r="Q95" s="2" t="s">
        <v>16</v>
      </c>
      <c r="R95" s="2"/>
      <c r="S95" s="2"/>
      <c r="T95" s="2"/>
    </row>
    <row r="96" spans="1:20">
      <c r="A96" s="2">
        <v>7</v>
      </c>
      <c r="B96" s="2"/>
      <c r="C96" s="2"/>
      <c r="D96" s="2"/>
      <c r="E96" s="2">
        <f t="shared" si="32"/>
        <v>0</v>
      </c>
      <c r="F96" s="2">
        <f t="shared" si="33"/>
        <v>0</v>
      </c>
      <c r="G96" s="2">
        <v>120</v>
      </c>
      <c r="H96" s="2">
        <f t="shared" si="34"/>
        <v>0</v>
      </c>
      <c r="I96" s="2">
        <f t="shared" si="35"/>
        <v>0</v>
      </c>
      <c r="J96" s="2">
        <f t="shared" si="36"/>
        <v>20</v>
      </c>
      <c r="K96" s="2"/>
      <c r="L96" s="2"/>
      <c r="M96" s="2" t="e">
        <f>VLOOKUP(K96,'Calibre-Ductos'!B2:E45,4,(FALSE))</f>
        <v>#N/A</v>
      </c>
      <c r="N96" s="2"/>
      <c r="O96" s="2" t="e">
        <f>VLOOKUP(N96,'Calibre-Ductos'!I3:P11,7,)</f>
        <v>#N/A</v>
      </c>
      <c r="P96" s="11" t="e">
        <f t="shared" si="37"/>
        <v>#N/A</v>
      </c>
      <c r="Q96" s="2" t="s">
        <v>16</v>
      </c>
      <c r="R96" s="2"/>
      <c r="S96" s="2"/>
      <c r="T96" s="2"/>
    </row>
    <row r="97" spans="1:20">
      <c r="A97" s="2">
        <v>8</v>
      </c>
      <c r="B97" s="2"/>
      <c r="C97" s="2"/>
      <c r="D97" s="2"/>
      <c r="E97" s="2">
        <f t="shared" si="32"/>
        <v>0</v>
      </c>
      <c r="F97" s="2">
        <f t="shared" si="33"/>
        <v>0</v>
      </c>
      <c r="G97" s="2">
        <v>120</v>
      </c>
      <c r="H97" s="2">
        <f t="shared" si="34"/>
        <v>0</v>
      </c>
      <c r="I97" s="2">
        <f t="shared" si="35"/>
        <v>0</v>
      </c>
      <c r="J97" s="2">
        <f t="shared" si="36"/>
        <v>20</v>
      </c>
      <c r="K97" s="2"/>
      <c r="L97" s="2"/>
      <c r="M97" s="2" t="e">
        <f>VLOOKUP(K97,'Calibre-Ductos'!B2:E45,4,(FALSE))</f>
        <v>#N/A</v>
      </c>
      <c r="N97" s="2"/>
      <c r="O97" s="2" t="e">
        <f>VLOOKUP(N97,'Calibre-Ductos'!I3:P11,7,)</f>
        <v>#N/A</v>
      </c>
      <c r="P97" s="11" t="e">
        <f t="shared" si="37"/>
        <v>#N/A</v>
      </c>
      <c r="Q97" s="2" t="s">
        <v>16</v>
      </c>
      <c r="R97" s="2"/>
      <c r="S97" s="2"/>
      <c r="T97" s="2"/>
    </row>
    <row r="98" spans="1:20">
      <c r="A98" s="2">
        <v>9</v>
      </c>
      <c r="B98" s="2"/>
      <c r="C98" s="2"/>
      <c r="D98" s="2"/>
      <c r="E98" s="2">
        <f t="shared" si="32"/>
        <v>0</v>
      </c>
      <c r="F98" s="2">
        <f t="shared" si="33"/>
        <v>0</v>
      </c>
      <c r="G98" s="2">
        <v>120</v>
      </c>
      <c r="H98" s="2">
        <f t="shared" si="34"/>
        <v>0</v>
      </c>
      <c r="I98" s="2">
        <f t="shared" si="35"/>
        <v>0</v>
      </c>
      <c r="J98" s="2">
        <f t="shared" si="36"/>
        <v>20</v>
      </c>
      <c r="K98" s="2"/>
      <c r="L98" s="2"/>
      <c r="M98" s="2" t="e">
        <f>VLOOKUP(K98,'Calibre-Ductos'!B2:E45,4,(FALSE))</f>
        <v>#N/A</v>
      </c>
      <c r="N98" s="2"/>
      <c r="O98" s="2" t="e">
        <f>VLOOKUP(N98,'Calibre-Ductos'!I3:P11,7,)</f>
        <v>#N/A</v>
      </c>
      <c r="P98" s="11" t="e">
        <f t="shared" si="37"/>
        <v>#N/A</v>
      </c>
      <c r="Q98" s="2" t="s">
        <v>16</v>
      </c>
      <c r="R98" s="2"/>
      <c r="S98" s="2"/>
      <c r="T98" s="2"/>
    </row>
    <row r="99" spans="1:20">
      <c r="A99" s="2">
        <v>10</v>
      </c>
      <c r="B99" s="2"/>
      <c r="C99" s="2"/>
      <c r="D99" s="2"/>
      <c r="E99" s="2">
        <f t="shared" si="32"/>
        <v>0</v>
      </c>
      <c r="F99" s="2">
        <f t="shared" si="33"/>
        <v>0</v>
      </c>
      <c r="G99" s="2">
        <v>120</v>
      </c>
      <c r="H99" s="2">
        <f t="shared" si="34"/>
        <v>0</v>
      </c>
      <c r="I99" s="2">
        <f t="shared" si="35"/>
        <v>0</v>
      </c>
      <c r="J99" s="2">
        <f t="shared" si="36"/>
        <v>20</v>
      </c>
      <c r="K99" s="2"/>
      <c r="L99" s="2"/>
      <c r="M99" s="2" t="e">
        <f>VLOOKUP(K99,'Calibre-Ductos'!B2:E45,4,(FALSE))</f>
        <v>#N/A</v>
      </c>
      <c r="N99" s="2"/>
      <c r="O99" s="2" t="e">
        <f>VLOOKUP(N99,'Calibre-Ductos'!I3:P11,7,)</f>
        <v>#N/A</v>
      </c>
      <c r="P99" s="11" t="e">
        <f t="shared" si="37"/>
        <v>#N/A</v>
      </c>
      <c r="Q99" s="2" t="s">
        <v>16</v>
      </c>
      <c r="R99" s="2"/>
      <c r="S99" s="2"/>
      <c r="T99" s="2"/>
    </row>
    <row r="100" spans="1:20">
      <c r="A100" s="2" t="s">
        <v>169</v>
      </c>
      <c r="B100" s="2"/>
      <c r="C100" s="2"/>
      <c r="D100" s="2"/>
      <c r="E100" s="2">
        <f>SUM(E90:E99)</f>
        <v>0</v>
      </c>
      <c r="F100" s="2">
        <f t="shared" si="33"/>
        <v>0</v>
      </c>
      <c r="G100" s="2">
        <v>120</v>
      </c>
      <c r="H100" s="2">
        <f t="shared" si="34"/>
        <v>0</v>
      </c>
      <c r="I100" s="2">
        <f t="shared" si="35"/>
        <v>0</v>
      </c>
      <c r="J100" s="2">
        <f t="shared" si="36"/>
        <v>20</v>
      </c>
      <c r="K100" s="2"/>
      <c r="L100" s="2"/>
      <c r="M100" s="2" t="e">
        <f>VLOOKUP(K100,'Calibre-Ductos'!B2:E45,4,(FALSE))</f>
        <v>#N/A</v>
      </c>
      <c r="N100" s="2"/>
      <c r="O100" s="2" t="e">
        <f>VLOOKUP(N100,'Calibre-Ductos'!I3:P11,7,)</f>
        <v>#N/A</v>
      </c>
      <c r="P100" s="11" t="e">
        <f t="shared" si="37"/>
        <v>#N/A</v>
      </c>
      <c r="Q100" s="2" t="s">
        <v>16</v>
      </c>
      <c r="R100" s="2"/>
      <c r="S100" s="2"/>
      <c r="T100" s="2"/>
    </row>
    <row r="101" spans="1:20">
      <c r="A101" s="337" t="s">
        <v>170</v>
      </c>
      <c r="B101" s="337"/>
      <c r="C101" s="337"/>
      <c r="D101" s="2"/>
      <c r="E101" s="2">
        <f>E100*D101</f>
        <v>0</v>
      </c>
      <c r="F101" s="2">
        <f t="shared" si="33"/>
        <v>0</v>
      </c>
    </row>
  </sheetData>
  <mergeCells count="90">
    <mergeCell ref="A101:C101"/>
    <mergeCell ref="A84:C84"/>
    <mergeCell ref="A87:T87"/>
    <mergeCell ref="A88:A89"/>
    <mergeCell ref="B88:B89"/>
    <mergeCell ref="C88:D88"/>
    <mergeCell ref="E88:F88"/>
    <mergeCell ref="H88:I88"/>
    <mergeCell ref="K88:K89"/>
    <mergeCell ref="L88:L89"/>
    <mergeCell ref="M88:M89"/>
    <mergeCell ref="N88:N89"/>
    <mergeCell ref="O88:O89"/>
    <mergeCell ref="P88:P89"/>
    <mergeCell ref="Q88:S88"/>
    <mergeCell ref="T88:T89"/>
    <mergeCell ref="A67:C67"/>
    <mergeCell ref="A70:T70"/>
    <mergeCell ref="A71:A72"/>
    <mergeCell ref="B71:B72"/>
    <mergeCell ref="C71:D71"/>
    <mergeCell ref="E71:F71"/>
    <mergeCell ref="H71:I71"/>
    <mergeCell ref="K71:K72"/>
    <mergeCell ref="L71:L72"/>
    <mergeCell ref="M71:M72"/>
    <mergeCell ref="N71:N72"/>
    <mergeCell ref="O71:O72"/>
    <mergeCell ref="P71:P72"/>
    <mergeCell ref="Q71:S71"/>
    <mergeCell ref="T71:T72"/>
    <mergeCell ref="A50:C50"/>
    <mergeCell ref="A53:T53"/>
    <mergeCell ref="A54:A55"/>
    <mergeCell ref="B54:B55"/>
    <mergeCell ref="C54:D54"/>
    <mergeCell ref="E54:F54"/>
    <mergeCell ref="H54:I54"/>
    <mergeCell ref="K54:K55"/>
    <mergeCell ref="L54:L55"/>
    <mergeCell ref="M54:M55"/>
    <mergeCell ref="N54:N55"/>
    <mergeCell ref="O54:O55"/>
    <mergeCell ref="P54:P55"/>
    <mergeCell ref="Q54:S54"/>
    <mergeCell ref="T54:T55"/>
    <mergeCell ref="A33:C33"/>
    <mergeCell ref="A36:T36"/>
    <mergeCell ref="A37:A38"/>
    <mergeCell ref="B37:B38"/>
    <mergeCell ref="C37:D37"/>
    <mergeCell ref="E37:F37"/>
    <mergeCell ref="H37:I37"/>
    <mergeCell ref="K37:K38"/>
    <mergeCell ref="L37:L38"/>
    <mergeCell ref="M37:M38"/>
    <mergeCell ref="N37:N38"/>
    <mergeCell ref="O37:O38"/>
    <mergeCell ref="P37:P38"/>
    <mergeCell ref="Q37:S37"/>
    <mergeCell ref="T37:T38"/>
    <mergeCell ref="A16:C16"/>
    <mergeCell ref="A19:T19"/>
    <mergeCell ref="A20:A21"/>
    <mergeCell ref="B20:B21"/>
    <mergeCell ref="C20:D20"/>
    <mergeCell ref="E20:F20"/>
    <mergeCell ref="H20:I20"/>
    <mergeCell ref="K20:K21"/>
    <mergeCell ref="L20:L21"/>
    <mergeCell ref="M20:M21"/>
    <mergeCell ref="N20:N21"/>
    <mergeCell ref="O20:O21"/>
    <mergeCell ref="P20:P21"/>
    <mergeCell ref="Q20:S20"/>
    <mergeCell ref="T20:T21"/>
    <mergeCell ref="P3:P4"/>
    <mergeCell ref="Q3:S3"/>
    <mergeCell ref="A2:T2"/>
    <mergeCell ref="T3:T4"/>
    <mergeCell ref="B3:B4"/>
    <mergeCell ref="A3:A4"/>
    <mergeCell ref="H3:I3"/>
    <mergeCell ref="K3:K4"/>
    <mergeCell ref="L3:L4"/>
    <mergeCell ref="M3:M4"/>
    <mergeCell ref="N3:N4"/>
    <mergeCell ref="O3:O4"/>
    <mergeCell ref="C3:D3"/>
    <mergeCell ref="E3:F3"/>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0000000}">
          <x14:formula1>
            <xm:f>'Calibre-Ductos'!$B$2:$B$45</xm:f>
          </x14:formula1>
          <xm:sqref>K5:L15 K22:L32 K39:L49 K56:L66 K73:L83 K90:L100</xm:sqref>
        </x14:dataValidation>
        <x14:dataValidation type="list" allowBlank="1" showInputMessage="1" showErrorMessage="1" xr:uid="{00000000-0002-0000-0100-000001000000}">
          <x14:formula1>
            <xm:f>'Calibre-Ductos'!$G$2:$G$11</xm:f>
          </x14:formula1>
          <xm:sqref>T5:T14 T22:T31 T39:T48 T56:T65 T73:T82 T90:T99</xm:sqref>
        </x14:dataValidation>
        <x14:dataValidation type="list" allowBlank="1" showInputMessage="1" showErrorMessage="1" xr:uid="{00000000-0002-0000-0100-000002000000}">
          <x14:formula1>
            <xm:f>'Calibre-Ductos'!$I$3:$I$11</xm:f>
          </x14:formula1>
          <xm:sqref>N5:N15 N22:N32 N39:N49 N56:N66 N73:N83 N90:N100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U51"/>
  <sheetViews>
    <sheetView topLeftCell="A31" workbookViewId="0">
      <selection activeCell="L26" sqref="L26"/>
    </sheetView>
  </sheetViews>
  <sheetFormatPr baseColWidth="10" defaultRowHeight="15"/>
  <cols>
    <col min="7" max="7" width="16.28515625" customWidth="1"/>
    <col min="20" max="20" width="18.5703125" customWidth="1"/>
    <col min="21" max="21" width="13.85546875" customWidth="1"/>
  </cols>
  <sheetData>
    <row r="1" spans="1:21" ht="33.75">
      <c r="A1" s="6" t="s">
        <v>28</v>
      </c>
      <c r="B1" s="6" t="s">
        <v>29</v>
      </c>
      <c r="C1" s="6" t="s">
        <v>30</v>
      </c>
      <c r="D1" s="6" t="s">
        <v>31</v>
      </c>
      <c r="E1" s="6" t="s">
        <v>32</v>
      </c>
      <c r="G1" s="2" t="s">
        <v>15</v>
      </c>
      <c r="I1" s="339" t="s">
        <v>147</v>
      </c>
      <c r="J1" s="340" t="s">
        <v>148</v>
      </c>
      <c r="K1" s="340"/>
      <c r="L1" s="340"/>
      <c r="M1" s="340" t="s">
        <v>149</v>
      </c>
      <c r="N1" s="340"/>
      <c r="O1" s="340"/>
      <c r="P1" s="339" t="s">
        <v>150</v>
      </c>
    </row>
    <row r="2" spans="1:21">
      <c r="A2" s="338" t="s">
        <v>33</v>
      </c>
      <c r="B2" s="7">
        <v>12</v>
      </c>
      <c r="C2" s="8" t="s">
        <v>34</v>
      </c>
      <c r="D2" s="8">
        <v>4.5999999999999996</v>
      </c>
      <c r="E2" s="8">
        <v>16.8</v>
      </c>
      <c r="G2" s="2" t="s">
        <v>154</v>
      </c>
      <c r="I2" s="339"/>
      <c r="J2" s="10" t="s">
        <v>151</v>
      </c>
      <c r="K2" s="10" t="s">
        <v>152</v>
      </c>
      <c r="L2" s="10" t="s">
        <v>153</v>
      </c>
      <c r="M2" s="10" t="s">
        <v>151</v>
      </c>
      <c r="N2" s="10" t="s">
        <v>152</v>
      </c>
      <c r="O2" s="10" t="s">
        <v>153</v>
      </c>
      <c r="P2" s="339"/>
      <c r="T2" t="s">
        <v>993</v>
      </c>
    </row>
    <row r="3" spans="1:21">
      <c r="A3" s="338"/>
      <c r="B3" s="7">
        <v>10</v>
      </c>
      <c r="C3" s="8" t="s">
        <v>35</v>
      </c>
      <c r="D3" s="8" t="s">
        <v>36</v>
      </c>
      <c r="E3" s="8">
        <v>21.5</v>
      </c>
      <c r="G3" s="2" t="s">
        <v>155</v>
      </c>
      <c r="I3" s="1">
        <v>0.5</v>
      </c>
      <c r="J3" s="10">
        <v>17.45</v>
      </c>
      <c r="K3" s="10">
        <v>18</v>
      </c>
      <c r="L3" s="10">
        <v>18.3</v>
      </c>
      <c r="M3" s="10">
        <v>239</v>
      </c>
      <c r="N3" s="10">
        <v>254</v>
      </c>
      <c r="O3" s="10">
        <v>263</v>
      </c>
      <c r="P3" s="10">
        <v>21.3</v>
      </c>
      <c r="T3" t="s">
        <v>995</v>
      </c>
      <c r="U3">
        <v>6</v>
      </c>
    </row>
    <row r="4" spans="1:21">
      <c r="A4" s="338"/>
      <c r="B4" s="7">
        <v>8</v>
      </c>
      <c r="C4" s="8" t="s">
        <v>37</v>
      </c>
      <c r="D4" s="8" t="s">
        <v>38</v>
      </c>
      <c r="E4" s="8">
        <v>35.4</v>
      </c>
      <c r="G4" s="2" t="s">
        <v>157</v>
      </c>
      <c r="I4" s="1">
        <v>0.75</v>
      </c>
      <c r="J4" s="10">
        <v>22.78</v>
      </c>
      <c r="K4" s="10">
        <v>23.34</v>
      </c>
      <c r="L4" s="10">
        <v>23.63</v>
      </c>
      <c r="M4" s="10">
        <v>408</v>
      </c>
      <c r="N4" s="10">
        <v>428</v>
      </c>
      <c r="O4" s="10">
        <v>439</v>
      </c>
      <c r="P4" s="10">
        <v>26.7</v>
      </c>
      <c r="T4" t="s">
        <v>994</v>
      </c>
      <c r="U4">
        <v>1.732</v>
      </c>
    </row>
    <row r="5" spans="1:21">
      <c r="A5" s="338" t="s">
        <v>39</v>
      </c>
      <c r="B5" s="7">
        <v>6</v>
      </c>
      <c r="C5" s="8" t="s">
        <v>40</v>
      </c>
      <c r="D5" s="8" t="s">
        <v>41</v>
      </c>
      <c r="E5" s="8">
        <v>46.8</v>
      </c>
      <c r="G5" s="2" t="s">
        <v>156</v>
      </c>
      <c r="I5" s="10">
        <v>1</v>
      </c>
      <c r="J5" s="10">
        <v>28.65</v>
      </c>
      <c r="K5" s="10">
        <v>28.95</v>
      </c>
      <c r="L5" s="10">
        <v>30.36</v>
      </c>
      <c r="M5" s="10">
        <v>645</v>
      </c>
      <c r="N5" s="10">
        <v>658</v>
      </c>
      <c r="O5" s="10">
        <v>724</v>
      </c>
      <c r="P5" s="10">
        <v>33.4</v>
      </c>
      <c r="T5" t="s">
        <v>996</v>
      </c>
      <c r="U5">
        <v>2.25</v>
      </c>
    </row>
    <row r="6" spans="1:21">
      <c r="A6" s="338"/>
      <c r="B6" s="7">
        <v>4</v>
      </c>
      <c r="C6" s="8" t="s">
        <v>42</v>
      </c>
      <c r="D6" s="8" t="s">
        <v>43</v>
      </c>
      <c r="E6" s="8">
        <v>62.2</v>
      </c>
      <c r="G6" s="2" t="s">
        <v>158</v>
      </c>
      <c r="I6" s="1">
        <v>1.25</v>
      </c>
      <c r="J6" s="10">
        <v>37.380000000000003</v>
      </c>
      <c r="K6" s="10">
        <v>38.76</v>
      </c>
      <c r="L6" s="10">
        <v>38.6</v>
      </c>
      <c r="M6" s="10">
        <v>1097</v>
      </c>
      <c r="N6" s="10">
        <v>1180</v>
      </c>
      <c r="O6" s="10">
        <v>1170</v>
      </c>
      <c r="P6" s="10">
        <v>42.2</v>
      </c>
    </row>
    <row r="7" spans="1:21">
      <c r="A7" s="338"/>
      <c r="B7" s="7">
        <v>3</v>
      </c>
      <c r="C7" s="8" t="s">
        <v>44</v>
      </c>
      <c r="D7" s="8" t="s">
        <v>45</v>
      </c>
      <c r="E7" s="8">
        <v>73.2</v>
      </c>
      <c r="G7" s="2" t="s">
        <v>159</v>
      </c>
      <c r="I7" s="1">
        <v>1.5</v>
      </c>
      <c r="J7" s="10">
        <v>42.62</v>
      </c>
      <c r="K7" s="10">
        <v>44.95</v>
      </c>
      <c r="L7" s="10">
        <v>44.2</v>
      </c>
      <c r="M7" s="10">
        <v>1427</v>
      </c>
      <c r="N7" s="10">
        <v>1587</v>
      </c>
      <c r="O7" s="10">
        <v>1534</v>
      </c>
      <c r="P7" s="10">
        <v>48.3</v>
      </c>
    </row>
    <row r="8" spans="1:21">
      <c r="A8" s="338"/>
      <c r="B8" s="7">
        <v>2</v>
      </c>
      <c r="C8" s="8" t="s">
        <v>46</v>
      </c>
      <c r="D8" s="8" t="s">
        <v>47</v>
      </c>
      <c r="E8" s="8">
        <v>86</v>
      </c>
      <c r="G8" s="2" t="s">
        <v>160</v>
      </c>
      <c r="I8" s="10">
        <v>2</v>
      </c>
      <c r="J8" s="10">
        <v>54.74</v>
      </c>
      <c r="K8" s="10">
        <v>56.51</v>
      </c>
      <c r="L8" s="10">
        <v>55.25</v>
      </c>
      <c r="M8" s="10">
        <v>2353</v>
      </c>
      <c r="N8" s="10">
        <v>2508</v>
      </c>
      <c r="O8" s="10">
        <v>2397</v>
      </c>
      <c r="P8" s="10">
        <v>60.3</v>
      </c>
    </row>
    <row r="9" spans="1:21">
      <c r="A9" s="338"/>
      <c r="B9" s="7">
        <v>1</v>
      </c>
      <c r="C9" s="8" t="s">
        <v>48</v>
      </c>
      <c r="D9" s="8" t="s">
        <v>49</v>
      </c>
      <c r="E9" s="8">
        <v>122.6</v>
      </c>
      <c r="G9" s="2" t="s">
        <v>161</v>
      </c>
      <c r="I9" s="1">
        <v>2.5</v>
      </c>
      <c r="J9" s="10">
        <v>64.84</v>
      </c>
      <c r="K9" s="10"/>
      <c r="L9" s="10"/>
      <c r="M9" s="10">
        <v>3301</v>
      </c>
      <c r="N9" s="10"/>
      <c r="O9" s="10"/>
      <c r="P9" s="10">
        <v>72.599999999999994</v>
      </c>
    </row>
    <row r="10" spans="1:21">
      <c r="A10" s="338"/>
      <c r="B10" s="7" t="s">
        <v>50</v>
      </c>
      <c r="C10" s="8" t="s">
        <v>51</v>
      </c>
      <c r="D10" s="8" t="s">
        <v>52</v>
      </c>
      <c r="E10" s="8">
        <v>143.4</v>
      </c>
      <c r="G10" s="2" t="s">
        <v>162</v>
      </c>
      <c r="I10" s="10">
        <v>3</v>
      </c>
      <c r="J10" s="10">
        <v>80.69</v>
      </c>
      <c r="K10" s="10"/>
      <c r="L10" s="10">
        <v>82.54</v>
      </c>
      <c r="M10" s="10">
        <v>5114</v>
      </c>
      <c r="N10" s="10"/>
      <c r="O10" s="10">
        <v>5351</v>
      </c>
      <c r="P10" s="10">
        <v>88.4</v>
      </c>
    </row>
    <row r="11" spans="1:21">
      <c r="A11" s="338"/>
      <c r="B11" s="7" t="s">
        <v>53</v>
      </c>
      <c r="C11" s="8" t="s">
        <v>54</v>
      </c>
      <c r="D11" s="8" t="s">
        <v>55</v>
      </c>
      <c r="E11" s="8" t="s">
        <v>56</v>
      </c>
      <c r="G11" s="2" t="s">
        <v>163</v>
      </c>
      <c r="I11" s="10">
        <v>4</v>
      </c>
      <c r="J11" s="10">
        <v>105.18</v>
      </c>
      <c r="K11" s="10"/>
      <c r="L11" s="10">
        <v>107.34</v>
      </c>
      <c r="M11" s="10">
        <v>8689</v>
      </c>
      <c r="N11" s="10"/>
      <c r="O11" s="10">
        <v>9049</v>
      </c>
      <c r="P11" s="10">
        <v>113.7</v>
      </c>
    </row>
    <row r="12" spans="1:21">
      <c r="A12" s="338"/>
      <c r="B12" s="7" t="s">
        <v>57</v>
      </c>
      <c r="C12" s="8" t="s">
        <v>58</v>
      </c>
      <c r="D12" s="8" t="s">
        <v>59</v>
      </c>
      <c r="E12" s="8" t="s">
        <v>60</v>
      </c>
      <c r="G12" s="2"/>
    </row>
    <row r="13" spans="1:21">
      <c r="A13" s="338"/>
      <c r="B13" s="7" t="s">
        <v>61</v>
      </c>
      <c r="C13" s="8" t="s">
        <v>62</v>
      </c>
      <c r="D13" s="8" t="s">
        <v>63</v>
      </c>
      <c r="E13" s="8" t="s">
        <v>64</v>
      </c>
      <c r="G13" s="2"/>
    </row>
    <row r="14" spans="1:21">
      <c r="A14" s="338"/>
      <c r="B14" s="7">
        <v>250</v>
      </c>
      <c r="C14" s="8" t="s">
        <v>65</v>
      </c>
      <c r="D14" s="8" t="s">
        <v>66</v>
      </c>
      <c r="E14" s="8" t="s">
        <v>67</v>
      </c>
      <c r="G14" s="2"/>
    </row>
    <row r="15" spans="1:21">
      <c r="A15" s="338"/>
      <c r="B15" s="7">
        <v>300</v>
      </c>
      <c r="C15" s="8" t="s">
        <v>68</v>
      </c>
      <c r="D15" s="8" t="s">
        <v>69</v>
      </c>
      <c r="E15" s="8" t="s">
        <v>70</v>
      </c>
      <c r="I15" s="341" t="s">
        <v>991</v>
      </c>
      <c r="J15" s="341"/>
      <c r="K15" s="341"/>
      <c r="L15" s="341"/>
      <c r="M15" s="341"/>
      <c r="N15" s="341"/>
      <c r="O15" s="341"/>
      <c r="P15" s="341"/>
    </row>
    <row r="16" spans="1:21">
      <c r="A16" s="338"/>
      <c r="B16" s="7">
        <v>350</v>
      </c>
      <c r="C16" s="8" t="s">
        <v>71</v>
      </c>
      <c r="D16" s="8">
        <v>22.1</v>
      </c>
      <c r="E16" s="8" t="s">
        <v>72</v>
      </c>
      <c r="I16" s="341" t="s">
        <v>992</v>
      </c>
      <c r="J16" s="341"/>
      <c r="K16" s="341"/>
      <c r="L16" s="341"/>
      <c r="M16" s="341"/>
      <c r="N16" s="341"/>
      <c r="O16" s="341"/>
      <c r="P16" s="341"/>
    </row>
    <row r="17" spans="1:13">
      <c r="A17" s="338"/>
      <c r="B17" s="7">
        <v>400</v>
      </c>
      <c r="C17" s="8" t="s">
        <v>73</v>
      </c>
      <c r="D17" s="8" t="s">
        <v>74</v>
      </c>
      <c r="E17" s="8" t="s">
        <v>75</v>
      </c>
      <c r="I17" t="s">
        <v>817</v>
      </c>
      <c r="K17">
        <v>0.8</v>
      </c>
      <c r="L17">
        <v>0.9</v>
      </c>
      <c r="M17">
        <v>0.95</v>
      </c>
    </row>
    <row r="18" spans="1:13">
      <c r="A18" s="338"/>
      <c r="B18" s="7">
        <v>500</v>
      </c>
      <c r="C18" s="8" t="s">
        <v>76</v>
      </c>
      <c r="D18" s="8" t="s">
        <v>77</v>
      </c>
      <c r="E18" s="8" t="s">
        <v>78</v>
      </c>
      <c r="I18" s="21">
        <v>2</v>
      </c>
      <c r="K18">
        <v>56.91</v>
      </c>
      <c r="L18">
        <v>60.02</v>
      </c>
      <c r="M18">
        <v>60.88</v>
      </c>
    </row>
    <row r="19" spans="1:13">
      <c r="A19" s="338"/>
      <c r="B19" s="7">
        <v>600</v>
      </c>
      <c r="C19" s="8" t="s">
        <v>79</v>
      </c>
      <c r="D19" s="8" t="s">
        <v>80</v>
      </c>
      <c r="E19" s="8" t="s">
        <v>81</v>
      </c>
      <c r="I19" s="21" t="s">
        <v>756</v>
      </c>
      <c r="K19">
        <v>39.229999999999997</v>
      </c>
      <c r="L19">
        <v>40.25</v>
      </c>
      <c r="M19">
        <v>40.08</v>
      </c>
    </row>
    <row r="20" spans="1:13">
      <c r="A20" s="338"/>
      <c r="B20" s="7">
        <v>700</v>
      </c>
      <c r="C20" s="8" t="s">
        <v>82</v>
      </c>
      <c r="D20" s="8" t="s">
        <v>83</v>
      </c>
      <c r="E20" s="8" t="s">
        <v>84</v>
      </c>
      <c r="I20" s="21" t="s">
        <v>757</v>
      </c>
      <c r="K20">
        <v>32.75</v>
      </c>
      <c r="L20">
        <v>33.11</v>
      </c>
      <c r="M20">
        <v>32.64</v>
      </c>
    </row>
    <row r="21" spans="1:13">
      <c r="A21" s="338"/>
      <c r="B21" s="7">
        <v>750</v>
      </c>
      <c r="C21" s="8" t="s">
        <v>85</v>
      </c>
      <c r="D21" s="8" t="s">
        <v>86</v>
      </c>
      <c r="E21" s="8" t="s">
        <v>87</v>
      </c>
      <c r="I21" s="21" t="s">
        <v>758</v>
      </c>
      <c r="K21">
        <v>27.58</v>
      </c>
      <c r="L21">
        <v>27.43</v>
      </c>
      <c r="M21">
        <v>26.72</v>
      </c>
    </row>
    <row r="22" spans="1:13">
      <c r="A22" s="338"/>
      <c r="B22" s="7">
        <v>800</v>
      </c>
      <c r="C22" s="8" t="s">
        <v>88</v>
      </c>
      <c r="D22" s="8" t="s">
        <v>89</v>
      </c>
      <c r="E22" s="8" t="s">
        <v>90</v>
      </c>
      <c r="I22" s="21" t="s">
        <v>759</v>
      </c>
      <c r="K22">
        <v>23.4</v>
      </c>
      <c r="L22">
        <v>22.86</v>
      </c>
      <c r="M22">
        <v>21.98</v>
      </c>
    </row>
    <row r="23" spans="1:13">
      <c r="A23" s="338"/>
      <c r="B23" s="7">
        <v>900</v>
      </c>
      <c r="C23" s="8" t="s">
        <v>91</v>
      </c>
      <c r="D23" s="8" t="s">
        <v>92</v>
      </c>
      <c r="E23" s="8" t="s">
        <v>93</v>
      </c>
      <c r="I23" s="21">
        <v>250</v>
      </c>
      <c r="K23">
        <v>20.47</v>
      </c>
      <c r="L23">
        <v>19.82</v>
      </c>
      <c r="M23">
        <v>18.95</v>
      </c>
    </row>
    <row r="24" spans="1:13">
      <c r="A24" s="338"/>
      <c r="B24" s="7">
        <v>1000</v>
      </c>
      <c r="C24" s="8" t="s">
        <v>94</v>
      </c>
      <c r="D24" s="8" t="s">
        <v>95</v>
      </c>
      <c r="E24" s="8" t="s">
        <v>96</v>
      </c>
      <c r="I24" s="21">
        <v>350</v>
      </c>
      <c r="K24">
        <v>16.489999999999998</v>
      </c>
      <c r="L24">
        <v>15.52</v>
      </c>
      <c r="M24">
        <v>14.51</v>
      </c>
    </row>
    <row r="25" spans="1:13">
      <c r="A25" s="338"/>
      <c r="B25" s="7">
        <v>1250</v>
      </c>
      <c r="C25" s="8" t="s">
        <v>97</v>
      </c>
      <c r="D25" s="8" t="s">
        <v>98</v>
      </c>
      <c r="E25" s="8" t="s">
        <v>99</v>
      </c>
      <c r="I25" s="21">
        <v>500</v>
      </c>
      <c r="K25">
        <v>13.68</v>
      </c>
      <c r="L25">
        <v>12.42</v>
      </c>
      <c r="M25">
        <v>11.27</v>
      </c>
    </row>
    <row r="26" spans="1:13">
      <c r="A26" s="338"/>
      <c r="B26" s="7">
        <v>1500</v>
      </c>
      <c r="C26" s="8" t="s">
        <v>100</v>
      </c>
      <c r="D26" s="8" t="s">
        <v>48</v>
      </c>
      <c r="E26" s="8" t="s">
        <v>101</v>
      </c>
      <c r="I26" s="21">
        <v>750</v>
      </c>
      <c r="K26">
        <v>11.36</v>
      </c>
      <c r="L26">
        <v>9.9</v>
      </c>
      <c r="M26">
        <v>8.68</v>
      </c>
    </row>
    <row r="27" spans="1:13">
      <c r="A27" s="338"/>
      <c r="B27" s="7">
        <v>1750</v>
      </c>
      <c r="C27" s="8" t="s">
        <v>102</v>
      </c>
      <c r="D27" s="8" t="s">
        <v>103</v>
      </c>
      <c r="E27" s="8" t="s">
        <v>104</v>
      </c>
      <c r="I27" s="21">
        <v>1000</v>
      </c>
      <c r="K27">
        <v>10.07</v>
      </c>
      <c r="L27">
        <v>8.56</v>
      </c>
      <c r="M27">
        <v>7.32</v>
      </c>
    </row>
    <row r="28" spans="1:13">
      <c r="A28" s="338"/>
      <c r="B28" s="7" t="s">
        <v>105</v>
      </c>
      <c r="C28" s="8" t="s">
        <v>106</v>
      </c>
      <c r="D28" s="8" t="s">
        <v>107</v>
      </c>
      <c r="E28" s="8" t="s">
        <v>108</v>
      </c>
    </row>
    <row r="29" spans="1:13">
      <c r="A29" s="9" t="s">
        <v>109</v>
      </c>
      <c r="B29" s="7">
        <v>18</v>
      </c>
      <c r="C29" s="8" t="s">
        <v>110</v>
      </c>
      <c r="D29" s="8" t="s">
        <v>111</v>
      </c>
      <c r="E29" s="8" t="s">
        <v>112</v>
      </c>
    </row>
    <row r="30" spans="1:13">
      <c r="A30" s="9" t="s">
        <v>113</v>
      </c>
      <c r="B30" s="7">
        <v>16</v>
      </c>
      <c r="C30" s="8" t="s">
        <v>114</v>
      </c>
      <c r="D30" s="8" t="s">
        <v>115</v>
      </c>
      <c r="E30" s="8" t="s">
        <v>116</v>
      </c>
    </row>
    <row r="31" spans="1:13">
      <c r="A31" s="338" t="s">
        <v>117</v>
      </c>
      <c r="B31" s="7">
        <v>14</v>
      </c>
      <c r="C31" s="8" t="s">
        <v>118</v>
      </c>
      <c r="D31" s="8" t="s">
        <v>119</v>
      </c>
      <c r="E31" s="8" t="s">
        <v>120</v>
      </c>
    </row>
    <row r="32" spans="1:13">
      <c r="A32" s="338"/>
      <c r="B32" s="7">
        <v>12</v>
      </c>
      <c r="C32" s="8" t="s">
        <v>34</v>
      </c>
      <c r="D32" s="8" t="s">
        <v>121</v>
      </c>
      <c r="E32" s="8" t="s">
        <v>122</v>
      </c>
    </row>
    <row r="33" spans="1:5">
      <c r="A33" s="338"/>
      <c r="B33" s="7" t="s">
        <v>123</v>
      </c>
      <c r="C33" s="8" t="s">
        <v>35</v>
      </c>
      <c r="D33" s="8" t="s">
        <v>124</v>
      </c>
      <c r="E33" s="8" t="s">
        <v>125</v>
      </c>
    </row>
    <row r="34" spans="1:5">
      <c r="A34" s="338"/>
      <c r="B34" s="7">
        <v>8</v>
      </c>
      <c r="C34" s="8" t="s">
        <v>37</v>
      </c>
      <c r="D34" s="8" t="s">
        <v>126</v>
      </c>
      <c r="E34" s="8" t="s">
        <v>127</v>
      </c>
    </row>
    <row r="35" spans="1:5">
      <c r="A35" s="338"/>
      <c r="B35" s="7">
        <v>6</v>
      </c>
      <c r="C35" s="8" t="s">
        <v>40</v>
      </c>
      <c r="D35" s="8" t="s">
        <v>126</v>
      </c>
      <c r="E35" s="8" t="s">
        <v>128</v>
      </c>
    </row>
    <row r="36" spans="1:5">
      <c r="A36" s="338"/>
      <c r="B36" s="7">
        <v>4</v>
      </c>
      <c r="C36" s="8" t="s">
        <v>42</v>
      </c>
      <c r="D36" s="8" t="s">
        <v>129</v>
      </c>
      <c r="E36" s="8" t="s">
        <v>130</v>
      </c>
    </row>
    <row r="37" spans="1:5">
      <c r="A37" s="338"/>
      <c r="B37" s="7">
        <v>3</v>
      </c>
      <c r="C37" s="8" t="s">
        <v>44</v>
      </c>
      <c r="D37" s="8" t="s">
        <v>131</v>
      </c>
      <c r="E37" s="8" t="s">
        <v>132</v>
      </c>
    </row>
    <row r="38" spans="1:5">
      <c r="A38" s="338"/>
      <c r="B38" s="7">
        <v>2</v>
      </c>
      <c r="C38" s="8" t="s">
        <v>46</v>
      </c>
      <c r="D38" s="8" t="s">
        <v>133</v>
      </c>
      <c r="E38" s="8" t="s">
        <v>134</v>
      </c>
    </row>
    <row r="39" spans="1:5">
      <c r="A39" s="338"/>
      <c r="B39" s="7">
        <v>1</v>
      </c>
      <c r="C39" s="8" t="s">
        <v>48</v>
      </c>
      <c r="D39" s="8" t="s">
        <v>135</v>
      </c>
      <c r="E39" s="8" t="s">
        <v>136</v>
      </c>
    </row>
    <row r="40" spans="1:5">
      <c r="A40" s="338"/>
      <c r="B40" s="7" t="s">
        <v>50</v>
      </c>
      <c r="C40" s="8" t="s">
        <v>51</v>
      </c>
      <c r="D40" s="8" t="s">
        <v>137</v>
      </c>
      <c r="E40" s="8" t="s">
        <v>138</v>
      </c>
    </row>
    <row r="41" spans="1:5">
      <c r="A41" s="338"/>
      <c r="B41" s="7" t="s">
        <v>53</v>
      </c>
      <c r="C41" s="8" t="s">
        <v>54</v>
      </c>
      <c r="D41" s="8" t="s">
        <v>52</v>
      </c>
      <c r="E41" s="8" t="s">
        <v>139</v>
      </c>
    </row>
    <row r="42" spans="1:5">
      <c r="A42" s="338"/>
      <c r="B42" s="7" t="s">
        <v>57</v>
      </c>
      <c r="C42" s="8" t="s">
        <v>58</v>
      </c>
      <c r="D42" s="8" t="s">
        <v>140</v>
      </c>
      <c r="E42" s="8" t="s">
        <v>141</v>
      </c>
    </row>
    <row r="43" spans="1:5">
      <c r="A43" s="338"/>
      <c r="B43" s="7" t="s">
        <v>61</v>
      </c>
      <c r="C43" s="8" t="s">
        <v>62</v>
      </c>
      <c r="D43" s="8">
        <v>16.3</v>
      </c>
      <c r="E43" s="8" t="s">
        <v>142</v>
      </c>
    </row>
    <row r="44" spans="1:5">
      <c r="A44" s="338"/>
      <c r="B44" s="7">
        <v>250</v>
      </c>
      <c r="C44" s="8" t="s">
        <v>65</v>
      </c>
      <c r="D44" s="8" t="s">
        <v>143</v>
      </c>
      <c r="E44" s="8" t="s">
        <v>144</v>
      </c>
    </row>
    <row r="45" spans="1:5">
      <c r="A45" s="338"/>
      <c r="B45" s="7">
        <v>300</v>
      </c>
      <c r="C45" s="8" t="s">
        <v>68</v>
      </c>
      <c r="D45" s="8" t="s">
        <v>145</v>
      </c>
      <c r="E45" s="8" t="s">
        <v>146</v>
      </c>
    </row>
    <row r="47" spans="1:5" ht="15.75">
      <c r="A47" s="13" t="s">
        <v>164</v>
      </c>
    </row>
    <row r="48" spans="1:5" ht="15.75">
      <c r="A48" s="13" t="s">
        <v>165</v>
      </c>
    </row>
    <row r="50" spans="1:4" ht="22.5">
      <c r="A50" s="6" t="s">
        <v>166</v>
      </c>
      <c r="B50" s="6">
        <v>1</v>
      </c>
      <c r="C50" s="6">
        <v>2</v>
      </c>
      <c r="D50" s="6" t="s">
        <v>167</v>
      </c>
    </row>
    <row r="51" spans="1:4" ht="33.75">
      <c r="A51" s="9" t="s">
        <v>168</v>
      </c>
      <c r="B51" s="14">
        <v>0.53</v>
      </c>
      <c r="C51" s="14">
        <v>0.31</v>
      </c>
      <c r="D51" s="14">
        <v>0.4</v>
      </c>
    </row>
  </sheetData>
  <mergeCells count="9">
    <mergeCell ref="A2:A4"/>
    <mergeCell ref="A5:A28"/>
    <mergeCell ref="A31:A45"/>
    <mergeCell ref="P1:P2"/>
    <mergeCell ref="I1:I2"/>
    <mergeCell ref="J1:L1"/>
    <mergeCell ref="M1:O1"/>
    <mergeCell ref="I15:P15"/>
    <mergeCell ref="I16:P1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2:Q36"/>
  <sheetViews>
    <sheetView topLeftCell="F1" workbookViewId="0">
      <selection activeCell="J15" sqref="J15"/>
    </sheetView>
  </sheetViews>
  <sheetFormatPr baseColWidth="10" defaultRowHeight="15"/>
  <cols>
    <col min="1" max="1" width="31.85546875" customWidth="1"/>
    <col min="2" max="2" width="30.85546875" customWidth="1"/>
    <col min="3" max="3" width="11.85546875" bestFit="1" customWidth="1"/>
    <col min="4" max="4" width="24.140625" customWidth="1"/>
    <col min="12" max="12" width="58.85546875" customWidth="1"/>
  </cols>
  <sheetData>
    <row r="2" spans="1:17">
      <c r="A2" s="20" t="s">
        <v>171</v>
      </c>
      <c r="B2" s="2">
        <f>'Cuadro De Cargas'!D16+'Cuadro De Cargas'!D33+'Cuadro De Cargas'!D50+'Cuadro De Cargas'!D84+'Cuadro De Cargas'!D101</f>
        <v>22</v>
      </c>
      <c r="G2" s="350" t="s">
        <v>184</v>
      </c>
      <c r="H2" s="350" t="s">
        <v>185</v>
      </c>
      <c r="I2" s="350" t="s">
        <v>186</v>
      </c>
      <c r="L2" s="342" t="s">
        <v>859</v>
      </c>
      <c r="M2" s="343"/>
      <c r="N2" s="344"/>
      <c r="O2" s="71"/>
      <c r="P2" s="71"/>
      <c r="Q2" s="71"/>
    </row>
    <row r="3" spans="1:17">
      <c r="A3" s="20" t="s">
        <v>172</v>
      </c>
      <c r="B3" s="4">
        <v>1</v>
      </c>
      <c r="G3" s="351"/>
      <c r="H3" s="351"/>
      <c r="I3" s="351"/>
      <c r="L3" s="345"/>
      <c r="M3" s="346"/>
      <c r="N3" s="347"/>
      <c r="O3" s="71"/>
      <c r="P3" s="71"/>
      <c r="Q3" s="71"/>
    </row>
    <row r="4" spans="1:17">
      <c r="A4" s="20" t="s">
        <v>173</v>
      </c>
      <c r="B4" s="2"/>
      <c r="C4" s="20" t="s">
        <v>182</v>
      </c>
      <c r="D4" s="20" t="s">
        <v>183</v>
      </c>
      <c r="E4" s="21"/>
      <c r="G4" s="19" t="s">
        <v>187</v>
      </c>
      <c r="H4" s="19">
        <v>10</v>
      </c>
      <c r="I4" s="19">
        <f>(((H4*746)/0.9)/1000)</f>
        <v>8.2888888888888879</v>
      </c>
      <c r="L4" s="228" t="s">
        <v>860</v>
      </c>
      <c r="M4" s="234">
        <v>13.2</v>
      </c>
      <c r="N4" s="232" t="s">
        <v>484</v>
      </c>
    </row>
    <row r="5" spans="1:17">
      <c r="A5" s="20" t="s">
        <v>174</v>
      </c>
      <c r="B5" s="11">
        <f>('Cuadro De Cargas'!F16+'Cuadro De Cargas'!F33+'Cuadro De Cargas'!F50+'Cuadro De Cargas'!F67+'Cuadro De Cargas'!F84+'Cuadro De Cargas'!F101)/1000</f>
        <v>125.66222222222221</v>
      </c>
      <c r="C5" s="11">
        <f>VLOOKUP(B2,Diversificada!A1:F82,'Cargas Nominales y Totales'!B3+1)</f>
        <v>0.53500000000000003</v>
      </c>
      <c r="D5" s="11">
        <f>B2*C5</f>
        <v>11.770000000000001</v>
      </c>
      <c r="E5" s="21"/>
      <c r="G5" s="19" t="s">
        <v>188</v>
      </c>
      <c r="H5" s="19">
        <v>5</v>
      </c>
      <c r="I5" s="19">
        <f t="shared" ref="I5:I6" si="0">(((H5*746)/0.9)/1000)</f>
        <v>4.1444444444444439</v>
      </c>
      <c r="L5" s="228" t="s">
        <v>861</v>
      </c>
      <c r="M5" s="234">
        <v>208</v>
      </c>
      <c r="N5" s="232" t="s">
        <v>10</v>
      </c>
    </row>
    <row r="6" spans="1:17">
      <c r="A6" s="20" t="s">
        <v>175</v>
      </c>
      <c r="B6" s="11">
        <f>I9</f>
        <v>19.919999999999998</v>
      </c>
      <c r="C6" s="11">
        <f>IF(B6&lt;10,0.5,1)</f>
        <v>1</v>
      </c>
      <c r="D6" s="11">
        <f>C6*B6</f>
        <v>19.919999999999998</v>
      </c>
      <c r="E6" s="21"/>
      <c r="G6" s="19" t="s">
        <v>189</v>
      </c>
      <c r="H6" s="19">
        <v>3</v>
      </c>
      <c r="I6" s="19">
        <f t="shared" si="0"/>
        <v>2.4866666666666664</v>
      </c>
      <c r="L6" s="228" t="s">
        <v>862</v>
      </c>
      <c r="M6" s="234">
        <f>C11</f>
        <v>3</v>
      </c>
      <c r="N6" s="233" t="s">
        <v>864</v>
      </c>
    </row>
    <row r="7" spans="1:17">
      <c r="A7" s="20" t="s">
        <v>17</v>
      </c>
      <c r="B7" s="11">
        <f>SUM(B5:B6)</f>
        <v>145.58222222222221</v>
      </c>
      <c r="C7" s="11"/>
      <c r="D7" s="11">
        <f>SUM(D5:D6)</f>
        <v>31.689999999999998</v>
      </c>
      <c r="E7" s="21"/>
      <c r="G7" s="19" t="s">
        <v>190</v>
      </c>
      <c r="H7" s="19"/>
      <c r="I7" s="19">
        <v>2</v>
      </c>
      <c r="L7" s="229" t="s">
        <v>863</v>
      </c>
      <c r="M7" s="234">
        <f>B11</f>
        <v>45</v>
      </c>
      <c r="N7" s="232" t="s">
        <v>486</v>
      </c>
    </row>
    <row r="8" spans="1:17">
      <c r="G8" s="19" t="s">
        <v>191</v>
      </c>
      <c r="H8" s="19"/>
      <c r="I8" s="19">
        <v>3</v>
      </c>
      <c r="L8" s="228" t="s">
        <v>867</v>
      </c>
      <c r="M8" s="234">
        <f>(M7*1000)/((M4*1000)*SQRT(3))</f>
        <v>1.9682395540555424</v>
      </c>
      <c r="N8" s="232" t="s">
        <v>11</v>
      </c>
    </row>
    <row r="9" spans="1:17">
      <c r="C9" s="71"/>
      <c r="G9" s="19" t="s">
        <v>17</v>
      </c>
      <c r="H9" s="19"/>
      <c r="I9" s="19">
        <f>SUM(I4:I8)</f>
        <v>19.919999999999998</v>
      </c>
      <c r="L9" s="228" t="s">
        <v>868</v>
      </c>
      <c r="M9" s="234">
        <f>(M7*1000)/(M5*SQRT(3))</f>
        <v>124.90751016121712</v>
      </c>
      <c r="N9" s="232" t="s">
        <v>11</v>
      </c>
    </row>
    <row r="10" spans="1:17">
      <c r="B10" s="30" t="s">
        <v>487</v>
      </c>
      <c r="C10" s="20" t="s">
        <v>485</v>
      </c>
      <c r="L10" s="228" t="s">
        <v>865</v>
      </c>
      <c r="M10" s="234">
        <f>M8/(M6/100)</f>
        <v>65.607985135184748</v>
      </c>
      <c r="N10" s="232" t="s">
        <v>11</v>
      </c>
    </row>
    <row r="11" spans="1:17">
      <c r="A11" s="69" t="s">
        <v>488</v>
      </c>
      <c r="B11" s="10">
        <v>45</v>
      </c>
      <c r="C11" s="2">
        <f>VLOOKUP(B11,'Distancia Min. de fuga'!A2:B21,2,FALSE)</f>
        <v>3</v>
      </c>
      <c r="L11" s="228" t="s">
        <v>866</v>
      </c>
      <c r="M11" s="234">
        <f>(M9/(M6/100))/1000</f>
        <v>4.1635836720405708</v>
      </c>
      <c r="N11" s="233" t="s">
        <v>869</v>
      </c>
    </row>
    <row r="12" spans="1:17">
      <c r="N12" s="90"/>
    </row>
    <row r="13" spans="1:17">
      <c r="B13" s="20" t="s">
        <v>484</v>
      </c>
      <c r="L13" s="354" t="s">
        <v>997</v>
      </c>
      <c r="M13" s="355"/>
      <c r="N13" s="356"/>
    </row>
    <row r="14" spans="1:17">
      <c r="A14" s="69" t="s">
        <v>491</v>
      </c>
      <c r="B14" s="10">
        <v>34.5</v>
      </c>
      <c r="C14" s="70"/>
      <c r="L14" s="185" t="s">
        <v>998</v>
      </c>
      <c r="M14" s="110" t="s">
        <v>996</v>
      </c>
      <c r="N14" s="111"/>
    </row>
    <row r="15" spans="1:17">
      <c r="L15" s="185" t="s">
        <v>999</v>
      </c>
      <c r="M15" s="321">
        <f>VLOOKUP(M14,'Calibre-Ductos'!T3:U5,2,FALSE)</f>
        <v>2.25</v>
      </c>
      <c r="N15" s="111"/>
    </row>
    <row r="16" spans="1:17">
      <c r="B16" s="30" t="s">
        <v>11</v>
      </c>
      <c r="F16" s="71"/>
      <c r="G16" s="71"/>
      <c r="H16" s="71"/>
      <c r="I16" s="71"/>
      <c r="J16" s="71"/>
      <c r="L16" s="185" t="s">
        <v>1002</v>
      </c>
      <c r="M16" s="321">
        <v>2</v>
      </c>
      <c r="N16" s="111"/>
    </row>
    <row r="17" spans="1:14">
      <c r="A17" s="69" t="s">
        <v>492</v>
      </c>
      <c r="B17" s="72">
        <f>B11/(SQRT(3)*B14)</f>
        <v>0.75306556850820761</v>
      </c>
      <c r="F17" s="71"/>
      <c r="G17" s="71"/>
      <c r="H17" s="71"/>
      <c r="I17" s="71"/>
      <c r="J17" s="71"/>
      <c r="L17" s="185" t="s">
        <v>1000</v>
      </c>
      <c r="M17" s="321">
        <f>(VLOOKUP(M16,'Calibre-Ductos'!I17:M27,4,FALSE))*100</f>
        <v>6002</v>
      </c>
      <c r="N17" s="111"/>
    </row>
    <row r="18" spans="1:14">
      <c r="A18" s="69" t="s">
        <v>493</v>
      </c>
      <c r="B18" s="72">
        <f>(B11*1000)/(SQRT(3)*208)</f>
        <v>124.90751016121712</v>
      </c>
      <c r="F18" s="71"/>
      <c r="G18" s="71"/>
      <c r="H18" s="71"/>
      <c r="I18" s="71"/>
      <c r="J18" s="71"/>
      <c r="L18" s="185" t="s">
        <v>1001</v>
      </c>
      <c r="M18" s="321">
        <f>M7*1000*20</f>
        <v>900000</v>
      </c>
      <c r="N18" s="111"/>
    </row>
    <row r="19" spans="1:14">
      <c r="F19" s="71"/>
      <c r="G19" s="71"/>
      <c r="H19" s="71"/>
      <c r="I19" s="71"/>
      <c r="J19" s="71"/>
      <c r="L19" s="187" t="s">
        <v>1003</v>
      </c>
      <c r="M19" s="322">
        <f>(M15*((M17)/(POWER(M4*1000,2)))*M18)/100</f>
        <v>0.69754648760330584</v>
      </c>
      <c r="N19" s="114"/>
    </row>
    <row r="20" spans="1:14">
      <c r="A20" s="331" t="s">
        <v>500</v>
      </c>
      <c r="B20" s="331"/>
      <c r="C20" s="331"/>
      <c r="F20" s="71"/>
      <c r="G20" s="71"/>
      <c r="H20" s="71"/>
      <c r="I20" s="71"/>
      <c r="J20" s="71"/>
    </row>
    <row r="21" spans="1:14">
      <c r="A21" s="15" t="s">
        <v>495</v>
      </c>
      <c r="B21" s="15">
        <v>36</v>
      </c>
      <c r="C21" s="15"/>
      <c r="F21" s="71"/>
      <c r="G21" s="71"/>
      <c r="H21" s="71"/>
      <c r="I21" s="71"/>
      <c r="J21" s="71"/>
    </row>
    <row r="22" spans="1:14" ht="33.75" customHeight="1">
      <c r="A22" s="75" t="s">
        <v>512</v>
      </c>
      <c r="B22" s="76" t="s">
        <v>513</v>
      </c>
      <c r="C22" s="68" t="s">
        <v>514</v>
      </c>
      <c r="F22" s="71"/>
      <c r="G22" s="71"/>
      <c r="H22" s="71"/>
      <c r="I22" s="71"/>
      <c r="J22" s="71"/>
    </row>
    <row r="23" spans="1:14">
      <c r="A23" s="15" t="s">
        <v>496</v>
      </c>
      <c r="B23" s="5" t="s">
        <v>505</v>
      </c>
      <c r="C23" s="15">
        <f>VLOOKUP(B23,'Distancia Min. de fuga'!D9:F12,3,FALSE)</f>
        <v>20</v>
      </c>
      <c r="F23" s="71"/>
      <c r="G23" s="71"/>
      <c r="H23" s="71"/>
      <c r="I23" s="71"/>
      <c r="J23" s="71"/>
    </row>
    <row r="24" spans="1:14">
      <c r="A24" s="15" t="s">
        <v>497</v>
      </c>
      <c r="B24" s="15">
        <f>EXP(1)^(2350/8150)</f>
        <v>1.3342156062139039</v>
      </c>
      <c r="F24" s="71"/>
      <c r="G24" s="71"/>
      <c r="H24" s="71"/>
      <c r="I24" s="71"/>
      <c r="J24" s="71"/>
    </row>
    <row r="25" spans="1:14">
      <c r="A25" s="15" t="s">
        <v>498</v>
      </c>
      <c r="B25" s="15">
        <f>(B21*C23*B24)/SQRT(3)</f>
        <v>554.62301237130998</v>
      </c>
      <c r="F25" s="71"/>
      <c r="G25" s="71"/>
      <c r="H25" s="71"/>
      <c r="I25" s="71"/>
      <c r="J25" s="71"/>
    </row>
    <row r="26" spans="1:14">
      <c r="A26" s="15" t="s">
        <v>499</v>
      </c>
      <c r="B26" s="15">
        <f>B25/410</f>
        <v>1.3527390545641707</v>
      </c>
      <c r="F26" s="71"/>
      <c r="G26" s="71"/>
      <c r="H26" s="71"/>
      <c r="I26" s="71"/>
      <c r="J26" s="71"/>
    </row>
    <row r="27" spans="1:14">
      <c r="F27" s="71"/>
      <c r="G27" s="71"/>
      <c r="H27" s="71"/>
      <c r="I27" s="71"/>
      <c r="J27" s="71"/>
    </row>
    <row r="28" spans="1:14">
      <c r="F28" s="71"/>
      <c r="G28" s="71"/>
      <c r="H28" s="71"/>
      <c r="I28" s="71"/>
      <c r="J28" s="71"/>
    </row>
    <row r="29" spans="1:14" ht="15.75" thickBot="1">
      <c r="A29" s="352" t="s">
        <v>847</v>
      </c>
      <c r="B29" s="353"/>
      <c r="F29" s="71"/>
      <c r="G29" s="71"/>
      <c r="H29" s="71"/>
      <c r="I29" s="71"/>
      <c r="J29" s="71"/>
    </row>
    <row r="30" spans="1:14" ht="16.5" thickTop="1" thickBot="1">
      <c r="A30" s="222" t="s">
        <v>848</v>
      </c>
      <c r="B30" s="223" t="s">
        <v>849</v>
      </c>
      <c r="F30" s="71"/>
      <c r="G30" s="71"/>
      <c r="H30" s="71"/>
      <c r="I30" s="71"/>
      <c r="J30" s="71"/>
    </row>
    <row r="31" spans="1:14" ht="99.75" customHeight="1" thickBot="1">
      <c r="A31" s="224" t="s">
        <v>850</v>
      </c>
      <c r="B31" s="225" t="s">
        <v>851</v>
      </c>
      <c r="F31" s="71"/>
      <c r="G31" s="71"/>
      <c r="H31" s="71"/>
      <c r="I31" s="71"/>
      <c r="J31" s="71"/>
    </row>
    <row r="32" spans="1:14" ht="82.5" customHeight="1" thickBot="1">
      <c r="A32" s="224" t="s">
        <v>852</v>
      </c>
      <c r="B32" s="225" t="s">
        <v>853</v>
      </c>
    </row>
    <row r="33" spans="1:2" ht="120" customHeight="1" thickBot="1">
      <c r="A33" s="224" t="s">
        <v>854</v>
      </c>
      <c r="B33" s="225" t="s">
        <v>855</v>
      </c>
    </row>
    <row r="34" spans="1:2" ht="84">
      <c r="A34" s="348" t="s">
        <v>856</v>
      </c>
      <c r="B34" s="227" t="s">
        <v>857</v>
      </c>
    </row>
    <row r="35" spans="1:2" ht="56.25" customHeight="1" thickBot="1">
      <c r="A35" s="349"/>
      <c r="B35" s="226" t="s">
        <v>858</v>
      </c>
    </row>
    <row r="36" spans="1:2" ht="15.75" thickTop="1"/>
  </sheetData>
  <mergeCells count="8">
    <mergeCell ref="L2:N3"/>
    <mergeCell ref="A34:A35"/>
    <mergeCell ref="A20:C20"/>
    <mergeCell ref="H2:H3"/>
    <mergeCell ref="I2:I3"/>
    <mergeCell ref="G2:G3"/>
    <mergeCell ref="A29:B29"/>
    <mergeCell ref="L13:N13"/>
  </mergeCell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300-000000000000}">
          <x14:formula1>
            <xm:f>Diversificada!$B$2:$F$2</xm:f>
          </x14:formula1>
          <xm:sqref>B3</xm:sqref>
        </x14:dataValidation>
        <x14:dataValidation type="list" allowBlank="1" showInputMessage="1" showErrorMessage="1" xr:uid="{00000000-0002-0000-0300-000001000000}">
          <x14:formula1>
            <xm:f>'Distancia Min. de fuga'!$A$2:$A$21</xm:f>
          </x14:formula1>
          <xm:sqref>B11</xm:sqref>
        </x14:dataValidation>
        <x14:dataValidation type="list" allowBlank="1" showInputMessage="1" showErrorMessage="1" xr:uid="{00000000-0002-0000-0300-000002000000}">
          <x14:formula1>
            <xm:f>'Distancia Min. de fuga'!$D$3:$D$4</xm:f>
          </x14:formula1>
          <xm:sqref>B14</xm:sqref>
        </x14:dataValidation>
        <x14:dataValidation type="list" allowBlank="1" showInputMessage="1" showErrorMessage="1" xr:uid="{00000000-0002-0000-0300-000003000000}">
          <x14:formula1>
            <xm:f>'Distancia Min. de fuga'!$G$3:$G$4</xm:f>
          </x14:formula1>
          <xm:sqref>B21</xm:sqref>
        </x14:dataValidation>
        <x14:dataValidation type="list" allowBlank="1" showInputMessage="1" showErrorMessage="1" xr:uid="{00000000-0002-0000-0300-000004000000}">
          <x14:formula1>
            <xm:f>'Distancia Min. de fuga'!$D$9:$D$12</xm:f>
          </x14:formula1>
          <xm:sqref>B23</xm:sqref>
        </x14:dataValidation>
        <x14:dataValidation type="list" allowBlank="1" showInputMessage="1" showErrorMessage="1" xr:uid="{00000000-0002-0000-0300-000005000000}">
          <x14:formula1>
            <xm:f>'Calibre-Ductos'!$T$3:$T$5</xm:f>
          </x14:formula1>
          <xm:sqref>M14</xm:sqref>
        </x14:dataValidation>
        <x14:dataValidation type="list" allowBlank="1" showInputMessage="1" showErrorMessage="1" xr:uid="{00000000-0002-0000-0300-000006000000}">
          <x14:formula1>
            <xm:f>'Calibre-Ductos'!$I$18:$I$27</xm:f>
          </x14:formula1>
          <xm:sqref>M16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dimension ref="A1:G21"/>
  <sheetViews>
    <sheetView workbookViewId="0">
      <selection activeCell="B6" sqref="B6"/>
    </sheetView>
  </sheetViews>
  <sheetFormatPr baseColWidth="10" defaultRowHeight="15"/>
  <cols>
    <col min="4" max="4" width="36.28515625" customWidth="1"/>
    <col min="5" max="5" width="34.7109375" customWidth="1"/>
    <col min="6" max="6" width="31.7109375" customWidth="1"/>
  </cols>
  <sheetData>
    <row r="1" spans="1:7">
      <c r="A1" s="21" t="s">
        <v>486</v>
      </c>
      <c r="B1" s="21" t="s">
        <v>485</v>
      </c>
    </row>
    <row r="2" spans="1:7">
      <c r="A2" s="21">
        <v>15</v>
      </c>
      <c r="B2" s="21">
        <v>3</v>
      </c>
      <c r="D2" s="15" t="s">
        <v>490</v>
      </c>
      <c r="E2" s="15" t="s">
        <v>489</v>
      </c>
      <c r="F2" s="15" t="s">
        <v>494</v>
      </c>
      <c r="G2" s="15"/>
    </row>
    <row r="3" spans="1:7">
      <c r="A3" s="21">
        <v>30</v>
      </c>
      <c r="B3" s="21">
        <v>3</v>
      </c>
      <c r="D3" s="15">
        <v>13.2</v>
      </c>
      <c r="E3" s="15">
        <v>3</v>
      </c>
      <c r="F3" s="15">
        <v>100</v>
      </c>
      <c r="G3" s="15">
        <v>17.5</v>
      </c>
    </row>
    <row r="4" spans="1:7">
      <c r="A4" s="21">
        <v>45</v>
      </c>
      <c r="B4" s="21">
        <v>3</v>
      </c>
      <c r="D4" s="15">
        <v>34.5</v>
      </c>
      <c r="E4" s="15">
        <v>2</v>
      </c>
      <c r="F4" s="15">
        <v>200</v>
      </c>
      <c r="G4" s="15">
        <v>36</v>
      </c>
    </row>
    <row r="5" spans="1:7">
      <c r="A5" s="21">
        <v>75</v>
      </c>
      <c r="B5" s="21">
        <v>3.5</v>
      </c>
    </row>
    <row r="6" spans="1:7">
      <c r="A6" s="21">
        <v>112.5</v>
      </c>
      <c r="B6" s="21">
        <v>3.5</v>
      </c>
    </row>
    <row r="7" spans="1:7">
      <c r="A7" s="21">
        <v>150</v>
      </c>
      <c r="B7" s="21">
        <v>4</v>
      </c>
    </row>
    <row r="8" spans="1:7" ht="47.25">
      <c r="A8" s="21">
        <v>225</v>
      </c>
      <c r="B8" s="21">
        <v>4</v>
      </c>
      <c r="D8" s="73" t="s">
        <v>501</v>
      </c>
      <c r="E8" s="73" t="s">
        <v>502</v>
      </c>
      <c r="F8" s="73" t="s">
        <v>511</v>
      </c>
    </row>
    <row r="9" spans="1:7" ht="225">
      <c r="A9" s="21">
        <v>300</v>
      </c>
      <c r="B9" s="21">
        <v>4.5</v>
      </c>
      <c r="D9" s="74" t="s">
        <v>503</v>
      </c>
      <c r="E9" s="74" t="s">
        <v>504</v>
      </c>
      <c r="F9" s="74">
        <v>16</v>
      </c>
    </row>
    <row r="10" spans="1:7" ht="165">
      <c r="A10" s="21">
        <v>400</v>
      </c>
      <c r="B10" s="21">
        <v>4.5</v>
      </c>
      <c r="D10" s="74" t="s">
        <v>505</v>
      </c>
      <c r="E10" s="74" t="s">
        <v>506</v>
      </c>
      <c r="F10" s="74">
        <v>20</v>
      </c>
    </row>
    <row r="11" spans="1:7" ht="150">
      <c r="A11" s="21">
        <v>500</v>
      </c>
      <c r="B11" s="21">
        <v>5</v>
      </c>
      <c r="D11" s="74" t="s">
        <v>507</v>
      </c>
      <c r="E11" s="74" t="s">
        <v>508</v>
      </c>
      <c r="F11" s="74">
        <v>25</v>
      </c>
    </row>
    <row r="12" spans="1:7" ht="135">
      <c r="A12" s="21">
        <v>630</v>
      </c>
      <c r="B12" s="21">
        <v>5</v>
      </c>
      <c r="D12" s="74" t="s">
        <v>509</v>
      </c>
      <c r="E12" s="74" t="s">
        <v>510</v>
      </c>
      <c r="F12" s="74">
        <v>31</v>
      </c>
    </row>
    <row r="13" spans="1:7">
      <c r="A13" s="21">
        <v>750</v>
      </c>
      <c r="B13" s="21">
        <v>5</v>
      </c>
    </row>
    <row r="14" spans="1:7">
      <c r="A14" s="21">
        <v>800</v>
      </c>
      <c r="B14" s="21">
        <v>5</v>
      </c>
    </row>
    <row r="15" spans="1:7">
      <c r="A15" s="21">
        <v>1000</v>
      </c>
      <c r="B15" s="21">
        <v>5</v>
      </c>
    </row>
    <row r="16" spans="1:7">
      <c r="A16" s="21">
        <v>1250</v>
      </c>
      <c r="B16" s="21">
        <v>6</v>
      </c>
    </row>
    <row r="17" spans="1:2">
      <c r="A17" s="21">
        <v>1600</v>
      </c>
      <c r="B17" s="21">
        <v>6</v>
      </c>
    </row>
    <row r="18" spans="1:2">
      <c r="A18" s="21">
        <v>2000</v>
      </c>
      <c r="B18" s="21">
        <v>6</v>
      </c>
    </row>
    <row r="19" spans="1:2">
      <c r="A19" s="21">
        <v>2500</v>
      </c>
      <c r="B19" s="21">
        <v>6</v>
      </c>
    </row>
    <row r="20" spans="1:2">
      <c r="A20" s="21">
        <v>3000</v>
      </c>
      <c r="B20" s="21">
        <v>6</v>
      </c>
    </row>
    <row r="21" spans="1:2">
      <c r="A21" s="21">
        <v>3750</v>
      </c>
      <c r="B21" s="21">
        <v>6</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1"/>
  <dimension ref="A1"/>
  <sheetViews>
    <sheetView topLeftCell="B7" zoomScale="98" zoomScaleNormal="98" workbookViewId="0">
      <selection activeCell="M45" sqref="M45"/>
    </sheetView>
  </sheetViews>
  <sheetFormatPr baseColWidth="10" defaultRowHeight="15"/>
  <sheetData/>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5"/>
  <dimension ref="A1"/>
  <sheetViews>
    <sheetView topLeftCell="A13" workbookViewId="0">
      <selection activeCell="D6" sqref="D6"/>
    </sheetView>
  </sheetViews>
  <sheetFormatPr baseColWidth="10" defaultRowHeight="1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7"/>
  <dimension ref="A1"/>
  <sheetViews>
    <sheetView topLeftCell="A10" workbookViewId="0">
      <selection activeCell="C11" sqref="C11"/>
    </sheetView>
  </sheetViews>
  <sheetFormatPr baseColWidth="10" defaultRowHeight="15"/>
  <sheetData/>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0"/>
  <dimension ref="B2:AJ40"/>
  <sheetViews>
    <sheetView zoomScaleNormal="100" workbookViewId="0">
      <selection activeCell="C11" sqref="C11"/>
    </sheetView>
  </sheetViews>
  <sheetFormatPr baseColWidth="10" defaultRowHeight="15"/>
  <cols>
    <col min="2" max="2" width="35.5703125" customWidth="1"/>
    <col min="3" max="3" width="20.5703125" customWidth="1"/>
    <col min="4" max="4" width="24.42578125" customWidth="1"/>
    <col min="8" max="8" width="12" customWidth="1"/>
    <col min="20" max="20" width="11.28515625" customWidth="1"/>
  </cols>
  <sheetData>
    <row r="2" spans="2:36" ht="15.75" thickBot="1">
      <c r="H2" s="361" t="s">
        <v>939</v>
      </c>
      <c r="I2" s="361"/>
    </row>
    <row r="3" spans="2:36" ht="15.75">
      <c r="B3" s="292" t="s">
        <v>865</v>
      </c>
      <c r="C3" s="293">
        <f>C6/C4</f>
        <v>1.1363636363636365</v>
      </c>
      <c r="D3" s="294" t="s">
        <v>11</v>
      </c>
      <c r="E3" s="110"/>
      <c r="H3" s="283" t="s">
        <v>937</v>
      </c>
      <c r="I3" s="230" t="s">
        <v>938</v>
      </c>
      <c r="M3" s="357" t="s">
        <v>943</v>
      </c>
      <c r="N3" s="358"/>
      <c r="P3" s="359" t="s">
        <v>946</v>
      </c>
      <c r="Q3" s="360"/>
      <c r="S3" s="359" t="s">
        <v>948</v>
      </c>
      <c r="T3" s="360"/>
    </row>
    <row r="4" spans="2:36" ht="15.75">
      <c r="B4" s="292" t="s">
        <v>860</v>
      </c>
      <c r="C4" s="293">
        <v>13.2</v>
      </c>
      <c r="D4" s="294" t="s">
        <v>484</v>
      </c>
      <c r="E4" s="110"/>
      <c r="H4" s="284">
        <v>1E-3</v>
      </c>
      <c r="I4" s="282">
        <f>C3</f>
        <v>1.1363636363636365</v>
      </c>
      <c r="M4" s="280" t="s">
        <v>944</v>
      </c>
      <c r="N4" s="288" t="s">
        <v>945</v>
      </c>
      <c r="P4" s="280" t="s">
        <v>947</v>
      </c>
      <c r="Q4" s="288" t="s">
        <v>945</v>
      </c>
      <c r="S4" s="280" t="s">
        <v>944</v>
      </c>
      <c r="T4" s="288" t="s">
        <v>945</v>
      </c>
    </row>
    <row r="5" spans="2:36" ht="15.75">
      <c r="B5" s="292" t="s">
        <v>861</v>
      </c>
      <c r="C5" s="293">
        <v>240</v>
      </c>
      <c r="D5" s="294" t="s">
        <v>10</v>
      </c>
      <c r="E5" s="110"/>
      <c r="H5" s="284">
        <v>0.1</v>
      </c>
      <c r="I5" s="285">
        <f>I4</f>
        <v>1.1363636363636365</v>
      </c>
      <c r="M5" s="280">
        <v>0.1</v>
      </c>
      <c r="N5" s="281">
        <f>111.8*C3</f>
        <v>127.04545454545455</v>
      </c>
      <c r="P5" s="280">
        <f>1*3600</f>
        <v>3600</v>
      </c>
      <c r="Q5" s="281">
        <f>7.41/3.8*I4</f>
        <v>2.2159090909090913</v>
      </c>
      <c r="S5" s="280">
        <v>0.01</v>
      </c>
      <c r="T5" s="281">
        <f>25*I4</f>
        <v>28.40909090909091</v>
      </c>
    </row>
    <row r="6" spans="2:36" ht="15.75">
      <c r="B6" s="110" t="s">
        <v>863</v>
      </c>
      <c r="C6" s="293">
        <v>15</v>
      </c>
      <c r="D6" s="294" t="s">
        <v>486</v>
      </c>
      <c r="E6" s="110"/>
      <c r="H6" s="284">
        <v>1</v>
      </c>
      <c r="I6" s="285">
        <f t="shared" ref="I6:I9" si="0">I5</f>
        <v>1.1363636363636365</v>
      </c>
      <c r="M6" s="280">
        <v>2</v>
      </c>
      <c r="N6" s="281">
        <f>25*C3</f>
        <v>28.40909090909091</v>
      </c>
      <c r="P6" s="280">
        <f>2*3600</f>
        <v>7200</v>
      </c>
      <c r="Q6" s="281">
        <f>6.42/3.8*I4</f>
        <v>1.9198564593301439</v>
      </c>
      <c r="S6" s="280">
        <v>0.1</v>
      </c>
      <c r="T6" s="281">
        <f>12*I4</f>
        <v>13.636363636363637</v>
      </c>
    </row>
    <row r="7" spans="2:36" ht="15.75">
      <c r="B7" s="110" t="s">
        <v>940</v>
      </c>
      <c r="C7" s="110">
        <v>0.4</v>
      </c>
      <c r="D7" s="294"/>
      <c r="E7" s="320" t="s">
        <v>936</v>
      </c>
      <c r="H7" s="284">
        <v>10</v>
      </c>
      <c r="I7" s="285">
        <f t="shared" si="0"/>
        <v>1.1363636363636365</v>
      </c>
      <c r="M7" s="280">
        <v>10</v>
      </c>
      <c r="N7" s="281">
        <f>11.3*C3</f>
        <v>12.840909090909093</v>
      </c>
      <c r="P7" s="280">
        <f>4*3600</f>
        <v>14400</v>
      </c>
      <c r="Q7" s="281">
        <f>5.62/3.8*I4</f>
        <v>1.6806220095693782</v>
      </c>
      <c r="S7" s="280">
        <v>1</v>
      </c>
      <c r="T7" s="281">
        <f>6*I4</f>
        <v>6.8181818181818183</v>
      </c>
    </row>
    <row r="8" spans="2:36" ht="16.5" thickBot="1">
      <c r="B8" s="292" t="s">
        <v>949</v>
      </c>
      <c r="C8" s="110">
        <v>2</v>
      </c>
      <c r="D8" s="110"/>
      <c r="E8" s="110"/>
      <c r="H8" s="284">
        <v>100</v>
      </c>
      <c r="I8" s="285">
        <f t="shared" si="0"/>
        <v>1.1363636363636365</v>
      </c>
      <c r="M8" s="280">
        <v>30</v>
      </c>
      <c r="N8" s="281">
        <f>6.3*C3</f>
        <v>7.1590909090909092</v>
      </c>
      <c r="P8" s="280">
        <f>8*3600</f>
        <v>28800</v>
      </c>
      <c r="Q8" s="281">
        <f>5.05/3.8*I4</f>
        <v>1.5101674641148326</v>
      </c>
      <c r="S8" s="290">
        <v>10</v>
      </c>
      <c r="T8" s="291">
        <f>3*I4</f>
        <v>3.4090909090909092</v>
      </c>
    </row>
    <row r="9" spans="2:36" ht="20.25" customHeight="1" thickBot="1">
      <c r="B9" s="110" t="s">
        <v>1006</v>
      </c>
      <c r="C9" s="110" t="s">
        <v>874</v>
      </c>
      <c r="D9" s="110"/>
      <c r="E9" s="110"/>
      <c r="H9" s="286">
        <v>1000</v>
      </c>
      <c r="I9" s="287">
        <f t="shared" si="0"/>
        <v>1.1363636363636365</v>
      </c>
      <c r="M9" s="280">
        <v>60</v>
      </c>
      <c r="N9" s="281">
        <f>4.75*C3</f>
        <v>5.3977272727272734</v>
      </c>
      <c r="P9" s="290">
        <f>24*3600</f>
        <v>86400</v>
      </c>
      <c r="Q9" s="291">
        <f>4.4/3.8*I4</f>
        <v>1.3157894736842106</v>
      </c>
    </row>
    <row r="10" spans="2:36" ht="24.75" customHeight="1">
      <c r="B10" s="110" t="s">
        <v>1005</v>
      </c>
      <c r="C10" s="110" t="s">
        <v>899</v>
      </c>
      <c r="D10" s="110"/>
      <c r="E10" s="110"/>
      <c r="H10" s="70"/>
      <c r="I10" s="70"/>
      <c r="M10" s="280">
        <v>300</v>
      </c>
      <c r="N10" s="281">
        <f>3*C3</f>
        <v>3.4090909090909092</v>
      </c>
    </row>
    <row r="11" spans="2:36" ht="16.5" thickBot="1">
      <c r="B11" s="110" t="s">
        <v>1004</v>
      </c>
      <c r="C11" s="110" t="s">
        <v>921</v>
      </c>
      <c r="D11" s="110"/>
      <c r="E11" s="110"/>
      <c r="H11" s="354" t="s">
        <v>940</v>
      </c>
      <c r="I11" s="355"/>
      <c r="J11" s="355"/>
      <c r="K11" s="356"/>
      <c r="M11" s="290">
        <v>1800</v>
      </c>
      <c r="N11" s="291">
        <f>2*C3</f>
        <v>2.2727272727272729</v>
      </c>
      <c r="P11" s="354" t="s">
        <v>949</v>
      </c>
      <c r="Q11" s="355"/>
      <c r="R11" s="355"/>
      <c r="S11" s="356"/>
      <c r="V11" s="354" t="s">
        <v>1007</v>
      </c>
      <c r="W11" s="355"/>
      <c r="X11" s="355"/>
      <c r="Y11" s="356"/>
      <c r="AA11" s="354" t="s">
        <v>1005</v>
      </c>
      <c r="AB11" s="355"/>
      <c r="AC11" s="355"/>
      <c r="AD11" s="356"/>
      <c r="AG11" s="354" t="s">
        <v>1004</v>
      </c>
      <c r="AH11" s="355"/>
      <c r="AI11" s="355"/>
      <c r="AJ11" s="356"/>
    </row>
    <row r="12" spans="2:36">
      <c r="H12" s="231" t="s">
        <v>941</v>
      </c>
      <c r="I12" s="289"/>
      <c r="J12" s="231" t="s">
        <v>942</v>
      </c>
      <c r="K12" s="289"/>
      <c r="P12" s="231" t="s">
        <v>941</v>
      </c>
      <c r="Q12" s="295"/>
      <c r="R12" s="231" t="s">
        <v>942</v>
      </c>
      <c r="S12" s="289"/>
      <c r="T12">
        <v>2</v>
      </c>
      <c r="V12" s="231" t="s">
        <v>941</v>
      </c>
      <c r="W12" s="295"/>
      <c r="X12" s="231" t="s">
        <v>942</v>
      </c>
      <c r="Y12" s="289"/>
      <c r="AA12" s="231" t="s">
        <v>941</v>
      </c>
      <c r="AB12" s="295"/>
      <c r="AC12" s="231" t="s">
        <v>942</v>
      </c>
      <c r="AD12" s="289"/>
      <c r="AG12" s="231" t="s">
        <v>941</v>
      </c>
      <c r="AH12" s="295"/>
      <c r="AI12" s="231" t="s">
        <v>942</v>
      </c>
      <c r="AJ12" s="289"/>
    </row>
    <row r="13" spans="2:36">
      <c r="H13" s="193">
        <v>300</v>
      </c>
      <c r="I13" s="194">
        <f>HLOOKUP(FUSIBLES!C7,'Fusibles Car.'!W4:AL21,2,FALSE)</f>
        <v>1.2</v>
      </c>
      <c r="J13" s="167">
        <v>300</v>
      </c>
      <c r="K13" s="175">
        <f>HLOOKUP(C7,'Fusibles Car.'!W26:AL43,2,FALSE)</f>
        <v>1.5</v>
      </c>
      <c r="P13" s="193">
        <v>300</v>
      </c>
      <c r="Q13" s="167">
        <f>HLOOKUP(FUSIBLES!$C$8,'Fusibles Car.'!$W$49:$AK$66,2,FALSE)</f>
        <v>4</v>
      </c>
      <c r="R13" s="167">
        <v>300</v>
      </c>
      <c r="S13" s="175">
        <f>HLOOKUP(FUSIBLES!$C$8,'Fusibles Car.'!$W$72:$AK$89,$T12,FALSE)</f>
        <v>5.0999999999999996</v>
      </c>
      <c r="T13">
        <v>3</v>
      </c>
      <c r="V13" s="193">
        <v>300</v>
      </c>
      <c r="W13" s="167">
        <f>HLOOKUP(FUSIBLES!$C$9,'Fusibles Car.'!$B$4:$S$21,2,FALSE)</f>
        <v>2</v>
      </c>
      <c r="X13" s="167">
        <v>300</v>
      </c>
      <c r="Y13" s="175">
        <f>HLOOKUP(FUSIBLES!$C$9,'Fusibles Car.'!$B$26:$S$43,$T12,FALSE)</f>
        <v>2.4</v>
      </c>
      <c r="AA13" s="193">
        <v>300</v>
      </c>
      <c r="AB13" s="167">
        <f>HLOOKUP(FUSIBLES!$C$10,'Fusibles Car.'!$B$49:$S$66,$T12,FALSE)</f>
        <v>2</v>
      </c>
      <c r="AC13" s="167">
        <v>300</v>
      </c>
      <c r="AD13" s="175">
        <f>HLOOKUP(FUSIBLES!$C$10,'Fusibles Car.'!$B$72:$S$89,$T12,FALSE)</f>
        <v>2.4</v>
      </c>
      <c r="AG13" s="193">
        <v>300</v>
      </c>
      <c r="AH13" s="167">
        <f>HLOOKUP(FUSIBLES!$C$11,'Fusibles Car.'!$B$94:$S$111,$T12,FALSE)</f>
        <v>4</v>
      </c>
      <c r="AI13" s="167">
        <v>300</v>
      </c>
      <c r="AJ13" s="175">
        <f>HLOOKUP(FUSIBLES!$C$11,'Fusibles Car.'!$B$116:$S$133,$T12,FALSE)</f>
        <v>4.8</v>
      </c>
    </row>
    <row r="14" spans="2:36">
      <c r="H14" s="195">
        <v>180</v>
      </c>
      <c r="I14" s="175">
        <f>HLOOKUP(FUSIBLES!C7,'Fusibles Car.'!W4:AL21,3,FALSE)</f>
        <v>1.37</v>
      </c>
      <c r="J14" s="167">
        <v>180</v>
      </c>
      <c r="K14" s="175">
        <f>HLOOKUP(FUSIBLES!C7,'Fusibles Car.'!W26:AL43,3,FALSE)</f>
        <v>1.65</v>
      </c>
      <c r="P14" s="195">
        <v>180</v>
      </c>
      <c r="Q14" s="167">
        <f>HLOOKUP(FUSIBLES!$C$8,'Fusibles Car.'!$W$49:$AK$66,3,FALSE)</f>
        <v>4.2</v>
      </c>
      <c r="R14" s="167">
        <v>180</v>
      </c>
      <c r="S14" s="175">
        <f>HLOOKUP(FUSIBLES!$C$8,'Fusibles Car.'!$W$72:$AK$89,$T13,FALSE)</f>
        <v>5.0999999999999996</v>
      </c>
      <c r="T14">
        <v>4</v>
      </c>
      <c r="V14" s="195">
        <v>180</v>
      </c>
      <c r="W14" s="167">
        <f>HLOOKUP(FUSIBLES!$C$9,'Fusibles Car.'!$B$4:$S$21,3,FALSE)</f>
        <v>2.0499999999999998</v>
      </c>
      <c r="X14" s="167">
        <v>180</v>
      </c>
      <c r="Y14" s="175">
        <f>HLOOKUP(FUSIBLES!$C$9,'Fusibles Car.'!$B$26:$S$43,$T13,FALSE)</f>
        <v>2.42</v>
      </c>
      <c r="AA14" s="195">
        <v>180</v>
      </c>
      <c r="AB14" s="167">
        <f>HLOOKUP(FUSIBLES!$C$10,'Fusibles Car.'!$B$49:$S$66,$T13,FALSE)</f>
        <v>2.0099999999999998</v>
      </c>
      <c r="AC14" s="167">
        <v>180</v>
      </c>
      <c r="AD14" s="175">
        <f>HLOOKUP(FUSIBLES!$C$10,'Fusibles Car.'!$B$72:$S$89,$T13,FALSE)</f>
        <v>2.42</v>
      </c>
      <c r="AG14" s="195">
        <v>180</v>
      </c>
      <c r="AH14" s="167">
        <f>HLOOKUP(FUSIBLES!$C$11,'Fusibles Car.'!$B$94:$S$111,$T13,FALSE)</f>
        <v>4.0999999999999996</v>
      </c>
      <c r="AI14" s="167">
        <v>180</v>
      </c>
      <c r="AJ14" s="175">
        <f>HLOOKUP(FUSIBLES!$C$11,'Fusibles Car.'!$B$116:$S$133,$T13,FALSE)</f>
        <v>5</v>
      </c>
    </row>
    <row r="15" spans="2:36">
      <c r="H15" s="195">
        <v>120</v>
      </c>
      <c r="I15" s="175">
        <f>HLOOKUP(FUSIBLES!C7,'Fusibles Car.'!W4:AL21,4,FALSE)</f>
        <v>1.5</v>
      </c>
      <c r="J15" s="167">
        <v>120</v>
      </c>
      <c r="K15" s="175">
        <f>HLOOKUP(FUSIBLES!C7,'Fusibles Car.'!W26:AL43,4,FALSE)</f>
        <v>1.8</v>
      </c>
      <c r="P15" s="195">
        <v>120</v>
      </c>
      <c r="Q15" s="167">
        <f>HLOOKUP(FUSIBLES!$C$8,'Fusibles Car.'!$W$49:$AK$66,4,FALSE)</f>
        <v>4.5999999999999996</v>
      </c>
      <c r="R15" s="167">
        <v>120</v>
      </c>
      <c r="S15" s="175">
        <f>HLOOKUP(FUSIBLES!$C$8,'Fusibles Car.'!$W$72:$AK$89,$T14,FALSE)</f>
        <v>5.6</v>
      </c>
      <c r="T15">
        <v>5</v>
      </c>
      <c r="V15" s="195">
        <v>120</v>
      </c>
      <c r="W15" s="167">
        <f>HLOOKUP(FUSIBLES!$C$9,'Fusibles Car.'!$B$4:$S$21,4,FALSE)</f>
        <v>2.1</v>
      </c>
      <c r="X15" s="167">
        <v>120</v>
      </c>
      <c r="Y15" s="175">
        <f>HLOOKUP(FUSIBLES!$C$9,'Fusibles Car.'!$B$26:$S$43,$T14,FALSE)</f>
        <v>2.4500000000000002</v>
      </c>
      <c r="AA15" s="195">
        <v>120</v>
      </c>
      <c r="AB15" s="167">
        <f>HLOOKUP(FUSIBLES!$C$10,'Fusibles Car.'!$B$49:$S$66,$T14,FALSE)</f>
        <v>2.0499999999999998</v>
      </c>
      <c r="AC15" s="167">
        <v>120</v>
      </c>
      <c r="AD15" s="175">
        <f>HLOOKUP(FUSIBLES!$C$10,'Fusibles Car.'!$B$72:$S$89,$T14,FALSE)</f>
        <v>2.4500000000000002</v>
      </c>
      <c r="AG15" s="195">
        <v>120</v>
      </c>
      <c r="AH15" s="167">
        <f>HLOOKUP(FUSIBLES!$C$11,'Fusibles Car.'!$B$94:$S$111,$T14,FALSE)</f>
        <v>4.2</v>
      </c>
      <c r="AI15" s="167">
        <v>120</v>
      </c>
      <c r="AJ15" s="175">
        <f>HLOOKUP(FUSIBLES!$C$11,'Fusibles Car.'!$B$116:$S$133,$T14,FALSE)</f>
        <v>5</v>
      </c>
    </row>
    <row r="16" spans="2:36">
      <c r="H16" s="195">
        <v>60</v>
      </c>
      <c r="I16" s="175">
        <f>HLOOKUP(FUSIBLES!C7,'Fusibles Car.'!W4:AL21,5,FALSE)</f>
        <v>1.9</v>
      </c>
      <c r="J16" s="167">
        <v>60</v>
      </c>
      <c r="K16" s="175">
        <f>HLOOKUP(FUSIBLES!C7,'Fusibles Car.'!W26:AL43,5,FALSE)</f>
        <v>2.2999999999999998</v>
      </c>
      <c r="P16" s="195">
        <v>60</v>
      </c>
      <c r="Q16" s="167">
        <f>HLOOKUP(FUSIBLES!$C$8,'Fusibles Car.'!$W$49:$AK$66,5,FALSE)</f>
        <v>5.5</v>
      </c>
      <c r="R16" s="167">
        <v>60</v>
      </c>
      <c r="S16" s="175">
        <f>HLOOKUP(FUSIBLES!$C$8,'Fusibles Car.'!$W$72:$AK$89,$T15,FALSE)</f>
        <v>6.7</v>
      </c>
      <c r="T16">
        <v>6</v>
      </c>
      <c r="V16" s="195">
        <v>60</v>
      </c>
      <c r="W16" s="167">
        <f>HLOOKUP(FUSIBLES!$C$9,'Fusibles Car.'!$B$4:$S$21,5,FALSE)</f>
        <v>2.2000000000000002</v>
      </c>
      <c r="X16" s="167">
        <v>60</v>
      </c>
      <c r="Y16" s="175">
        <f>HLOOKUP(FUSIBLES!$C$9,'Fusibles Car.'!$B$26:$S$43,$T15,FALSE)</f>
        <v>2.6</v>
      </c>
      <c r="AA16" s="195">
        <v>60</v>
      </c>
      <c r="AB16" s="167">
        <f>HLOOKUP(FUSIBLES!$C$10,'Fusibles Car.'!$B$49:$S$66,$T15,FALSE)</f>
        <v>2.1</v>
      </c>
      <c r="AC16" s="167">
        <v>60</v>
      </c>
      <c r="AD16" s="175">
        <f>HLOOKUP(FUSIBLES!$C$10,'Fusibles Car.'!$B$72:$S$89,$T15,FALSE)</f>
        <v>2.5</v>
      </c>
      <c r="AG16" s="195">
        <v>60</v>
      </c>
      <c r="AH16" s="167">
        <f>HLOOKUP(FUSIBLES!$C$11,'Fusibles Car.'!$B$94:$S$111,$T15,FALSE)</f>
        <v>4.3</v>
      </c>
      <c r="AI16" s="167">
        <v>60</v>
      </c>
      <c r="AJ16" s="175">
        <f>HLOOKUP(FUSIBLES!$C$11,'Fusibles Car.'!$B$116:$S$133,$T15,FALSE)</f>
        <v>5.2</v>
      </c>
    </row>
    <row r="17" spans="8:36">
      <c r="H17" s="195">
        <v>30</v>
      </c>
      <c r="I17" s="175">
        <f>HLOOKUP(FUSIBLES!C7,'Fusibles Car.'!W4:AL21,6,FALSE)</f>
        <v>2.7</v>
      </c>
      <c r="J17" s="167">
        <v>30</v>
      </c>
      <c r="K17" s="175">
        <f>HLOOKUP(FUSIBLES!C7,'Fusibles Car.'!W26:AL43,6,FALSE)</f>
        <v>3.2</v>
      </c>
      <c r="P17" s="195">
        <v>30</v>
      </c>
      <c r="Q17" s="167">
        <f>HLOOKUP(FUSIBLES!$C$8,'Fusibles Car.'!$W$49:$AK$66,6,FALSE)</f>
        <v>6.9</v>
      </c>
      <c r="R17" s="167">
        <v>30</v>
      </c>
      <c r="S17" s="175">
        <f>HLOOKUP(FUSIBLES!$C$8,'Fusibles Car.'!$W$72:$AK$89,$T16,FALSE)</f>
        <v>8.6</v>
      </c>
      <c r="T17">
        <v>7</v>
      </c>
      <c r="V17" s="195">
        <v>30</v>
      </c>
      <c r="W17" s="167">
        <f>HLOOKUP(FUSIBLES!$C$9,'Fusibles Car.'!$B$4:$S$21,6,FALSE)</f>
        <v>2.2999999999999998</v>
      </c>
      <c r="X17" s="167">
        <v>30</v>
      </c>
      <c r="Y17" s="175">
        <f>HLOOKUP(FUSIBLES!$C$9,'Fusibles Car.'!$B$26:$S$43,$T16,FALSE)</f>
        <v>2.75</v>
      </c>
      <c r="AA17" s="195">
        <v>30</v>
      </c>
      <c r="AB17" s="167">
        <f>HLOOKUP(FUSIBLES!$C$10,'Fusibles Car.'!$B$49:$S$66,$T16,FALSE)</f>
        <v>2.15</v>
      </c>
      <c r="AC17" s="167">
        <v>30</v>
      </c>
      <c r="AD17" s="175">
        <f>HLOOKUP(FUSIBLES!$C$10,'Fusibles Car.'!$B$72:$S$89,$T16,FALSE)</f>
        <v>2.5499999999999998</v>
      </c>
      <c r="AG17" s="195">
        <v>30</v>
      </c>
      <c r="AH17" s="167">
        <f>HLOOKUP(FUSIBLES!$C$11,'Fusibles Car.'!$B$94:$S$111,$T16,FALSE)</f>
        <v>4.4000000000000004</v>
      </c>
      <c r="AI17" s="167">
        <v>30</v>
      </c>
      <c r="AJ17" s="175">
        <f>HLOOKUP(FUSIBLES!$C$11,'Fusibles Car.'!$B$116:$S$133,$T16,FALSE)</f>
        <v>5.4</v>
      </c>
    </row>
    <row r="18" spans="8:36">
      <c r="H18" s="195">
        <v>10</v>
      </c>
      <c r="I18" s="175">
        <f>HLOOKUP(FUSIBLES!C7,'Fusibles Car.'!W4:AL21,7,FALSE)</f>
        <v>5.8</v>
      </c>
      <c r="J18" s="167">
        <v>10</v>
      </c>
      <c r="K18" s="175">
        <f>HLOOKUP(FUSIBLES!C7,'Fusibles Car.'!W26:AL43,7,FALSE)</f>
        <v>6.7</v>
      </c>
      <c r="P18" s="195">
        <v>10</v>
      </c>
      <c r="Q18" s="167">
        <f>HLOOKUP(FUSIBLES!$C$8,'Fusibles Car.'!$W$49:$AK$66,7,FALSE)</f>
        <v>10.5</v>
      </c>
      <c r="R18" s="167">
        <v>10</v>
      </c>
      <c r="S18" s="175">
        <f>HLOOKUP(FUSIBLES!$C$8,'Fusibles Car.'!$W$72:$AK$89,$T17,FALSE)</f>
        <v>13</v>
      </c>
      <c r="T18">
        <v>8</v>
      </c>
      <c r="V18" s="195">
        <v>10</v>
      </c>
      <c r="W18" s="167">
        <f>HLOOKUP(FUSIBLES!$C$9,'Fusibles Car.'!$B$4:$S$21,7,FALSE)</f>
        <v>2.4</v>
      </c>
      <c r="X18" s="167">
        <v>10</v>
      </c>
      <c r="Y18" s="175">
        <f>HLOOKUP(FUSIBLES!$C$9,'Fusibles Car.'!$B$26:$S$43,$T17,FALSE)</f>
        <v>2.9</v>
      </c>
      <c r="AA18" s="195">
        <v>10</v>
      </c>
      <c r="AB18" s="167">
        <f>HLOOKUP(FUSIBLES!$C$10,'Fusibles Car.'!$B$49:$S$66,$T17,FALSE)</f>
        <v>2.2000000000000002</v>
      </c>
      <c r="AC18" s="167">
        <v>10</v>
      </c>
      <c r="AD18" s="175">
        <f>HLOOKUP(FUSIBLES!$C$10,'Fusibles Car.'!$B$72:$S$89,$T17,FALSE)</f>
        <v>2.7</v>
      </c>
      <c r="AG18" s="195">
        <v>10</v>
      </c>
      <c r="AH18" s="167">
        <f>HLOOKUP(FUSIBLES!$C$11,'Fusibles Car.'!$B$94:$S$111,$T17,FALSE)</f>
        <v>4.5</v>
      </c>
      <c r="AI18" s="167">
        <v>10</v>
      </c>
      <c r="AJ18" s="175">
        <f>HLOOKUP(FUSIBLES!$C$11,'Fusibles Car.'!$B$116:$S$133,$T17,FALSE)</f>
        <v>5.8</v>
      </c>
    </row>
    <row r="19" spans="8:36">
      <c r="H19" s="195">
        <v>4</v>
      </c>
      <c r="I19" s="175">
        <f>HLOOKUP(FUSIBLES!C7,'Fusibles Car.'!W4:AL21,8,FALSE)</f>
        <v>8.6999999999999993</v>
      </c>
      <c r="J19" s="167">
        <v>4</v>
      </c>
      <c r="K19" s="175">
        <f>HLOOKUP(FUSIBLES!C7,'Fusibles Car.'!W26:AL43,8,FALSE)</f>
        <v>10.5</v>
      </c>
      <c r="P19" s="195">
        <v>4</v>
      </c>
      <c r="Q19" s="167">
        <f>HLOOKUP(FUSIBLES!$C$8,'Fusibles Car.'!$W$49:$AK$66,8,FALSE)</f>
        <v>14</v>
      </c>
      <c r="R19" s="167">
        <v>4</v>
      </c>
      <c r="S19" s="175">
        <f>HLOOKUP(FUSIBLES!$C$8,'Fusibles Car.'!$W$72:$AK$89,$T18,FALSE)</f>
        <v>18</v>
      </c>
      <c r="T19">
        <v>9</v>
      </c>
      <c r="V19" s="195">
        <v>4</v>
      </c>
      <c r="W19" s="167">
        <f>HLOOKUP(FUSIBLES!$C$9,'Fusibles Car.'!$B$4:$S$21,8,FALSE)</f>
        <v>2.8</v>
      </c>
      <c r="X19" s="167">
        <v>4</v>
      </c>
      <c r="Y19" s="175">
        <f>HLOOKUP(FUSIBLES!$C$9,'Fusibles Car.'!$B$26:$S$43,$T18,FALSE)</f>
        <v>3.6</v>
      </c>
      <c r="AA19" s="195">
        <v>4</v>
      </c>
      <c r="AB19" s="167">
        <f>HLOOKUP(FUSIBLES!$C$10,'Fusibles Car.'!$B$49:$S$66,$T18,FALSE)</f>
        <v>3</v>
      </c>
      <c r="AC19" s="167">
        <v>4</v>
      </c>
      <c r="AD19" s="175">
        <f>HLOOKUP(FUSIBLES!$C$10,'Fusibles Car.'!$B$72:$S$89,$T18,FALSE)</f>
        <v>3.55</v>
      </c>
      <c r="AG19" s="195">
        <v>4</v>
      </c>
      <c r="AH19" s="167">
        <f>HLOOKUP(FUSIBLES!$C$11,'Fusibles Car.'!$B$94:$S$111,$T18,FALSE)</f>
        <v>5.2</v>
      </c>
      <c r="AI19" s="167">
        <v>4</v>
      </c>
      <c r="AJ19" s="175">
        <f>HLOOKUP(FUSIBLES!$C$11,'Fusibles Car.'!$B$116:$S$133,$T18,FALSE)</f>
        <v>8.1</v>
      </c>
    </row>
    <row r="20" spans="8:36">
      <c r="H20" s="195">
        <v>2</v>
      </c>
      <c r="I20" s="175">
        <f>HLOOKUP(FUSIBLES!C7,'Fusibles Car.'!W4:AL21,9,FALSE)</f>
        <v>9.8000000000000007</v>
      </c>
      <c r="J20" s="167">
        <v>2</v>
      </c>
      <c r="K20" s="175">
        <f>HLOOKUP(FUSIBLES!C7,'Fusibles Car.'!W26:AL43,9,FALSE)</f>
        <v>12</v>
      </c>
      <c r="P20" s="195">
        <v>2</v>
      </c>
      <c r="Q20" s="167">
        <f>HLOOKUP(FUSIBLES!$C$8,'Fusibles Car.'!$W$49:$AK$66,9,FALSE)</f>
        <v>0</v>
      </c>
      <c r="R20" s="167">
        <v>2</v>
      </c>
      <c r="S20" s="175">
        <f>HLOOKUP(FUSIBLES!$C$8,'Fusibles Car.'!$W$72:$AK$89,$T19,FALSE)</f>
        <v>0</v>
      </c>
      <c r="T20">
        <v>10</v>
      </c>
      <c r="V20" s="195">
        <v>2</v>
      </c>
      <c r="W20" s="167">
        <f>HLOOKUP(FUSIBLES!$C$9,'Fusibles Car.'!$B$4:$S$21,9,FALSE)</f>
        <v>3.1</v>
      </c>
      <c r="X20" s="167">
        <v>2</v>
      </c>
      <c r="Y20" s="175">
        <f>HLOOKUP(FUSIBLES!$C$9,'Fusibles Car.'!$B$26:$S$43,$T19,FALSE)</f>
        <v>4</v>
      </c>
      <c r="AA20" s="195">
        <v>2</v>
      </c>
      <c r="AB20" s="167">
        <f>HLOOKUP(FUSIBLES!$C$10,'Fusibles Car.'!$B$49:$S$66,$T19,FALSE)</f>
        <v>3.1</v>
      </c>
      <c r="AC20" s="167">
        <v>2</v>
      </c>
      <c r="AD20" s="175">
        <f>HLOOKUP(FUSIBLES!$C$10,'Fusibles Car.'!$B$72:$S$89,$T19,FALSE)</f>
        <v>3.6</v>
      </c>
      <c r="AG20" s="195">
        <v>1</v>
      </c>
      <c r="AH20" s="167">
        <f>HLOOKUP(FUSIBLES!$C$11,'Fusibles Car.'!$B$94:$S$111,$T19,FALSE)</f>
        <v>10</v>
      </c>
      <c r="AI20" s="167">
        <v>1</v>
      </c>
      <c r="AJ20" s="175">
        <f>HLOOKUP(FUSIBLES!$C$11,'Fusibles Car.'!$B$116:$S$133,$T19,FALSE)</f>
        <v>15.8</v>
      </c>
    </row>
    <row r="21" spans="8:36">
      <c r="H21" s="195">
        <v>1</v>
      </c>
      <c r="I21" s="175">
        <f>HLOOKUP(FUSIBLES!C7,'Fusibles Car.'!W4:AL21,10,FALSE)</f>
        <v>12</v>
      </c>
      <c r="J21" s="167">
        <v>1</v>
      </c>
      <c r="K21" s="175">
        <f>HLOOKUP(FUSIBLES!C7,'Fusibles Car.'!W26:AL43,10,FALSE)</f>
        <v>14</v>
      </c>
      <c r="P21" s="195">
        <v>1</v>
      </c>
      <c r="Q21" s="167">
        <f>HLOOKUP(FUSIBLES!$C$8,'Fusibles Car.'!$W$49:$AK$66,10,FALSE)</f>
        <v>22.5</v>
      </c>
      <c r="R21" s="167">
        <v>1</v>
      </c>
      <c r="S21" s="175">
        <f>HLOOKUP(FUSIBLES!$C$8,'Fusibles Car.'!$W$72:$AK$89,$T20,FALSE)</f>
        <v>28.5</v>
      </c>
      <c r="T21">
        <v>11</v>
      </c>
      <c r="V21" s="195">
        <v>1</v>
      </c>
      <c r="W21" s="167">
        <f>HLOOKUP(FUSIBLES!$C$9,'Fusibles Car.'!$B$4:$S$21,10,FALSE)</f>
        <v>4.0999999999999996</v>
      </c>
      <c r="X21" s="167">
        <v>1</v>
      </c>
      <c r="Y21" s="175">
        <f>HLOOKUP(FUSIBLES!$C$9,'Fusibles Car.'!$B$26:$S$43,$T20,FALSE)</f>
        <v>5.4</v>
      </c>
      <c r="AA21" s="195">
        <v>1</v>
      </c>
      <c r="AB21" s="167">
        <f>HLOOKUP(FUSIBLES!$C$10,'Fusibles Car.'!$B$49:$S$66,$T20,FALSE)</f>
        <v>5</v>
      </c>
      <c r="AC21" s="167">
        <v>1</v>
      </c>
      <c r="AD21" s="175">
        <f>HLOOKUP(FUSIBLES!$C$10,'Fusibles Car.'!$B$72:$S$89,$T20,FALSE)</f>
        <v>5.8</v>
      </c>
      <c r="AG21" s="195">
        <v>0.5</v>
      </c>
      <c r="AH21" s="167">
        <f>HLOOKUP(FUSIBLES!$C$11,'Fusibles Car.'!$B$94:$S$111,$T20,FALSE)</f>
        <v>14.8</v>
      </c>
      <c r="AI21" s="167">
        <v>0.5</v>
      </c>
      <c r="AJ21" s="175">
        <f>HLOOKUP(FUSIBLES!$C$11,'Fusibles Car.'!$B$116:$S$133,$T20,FALSE)</f>
        <v>22</v>
      </c>
    </row>
    <row r="22" spans="8:36">
      <c r="H22" s="195">
        <v>0.5</v>
      </c>
      <c r="I22" s="175">
        <f>HLOOKUP(FUSIBLES!C7,'Fusibles Car.'!W4:AL21,11,FALSE)</f>
        <v>16.3</v>
      </c>
      <c r="J22" s="167">
        <v>0.5</v>
      </c>
      <c r="K22" s="175">
        <f>HLOOKUP(FUSIBLES!C7,'Fusibles Car.'!W26:AL43,11,FALSE)</f>
        <v>18.7</v>
      </c>
      <c r="P22" s="195">
        <v>0.5</v>
      </c>
      <c r="Q22" s="167">
        <f>HLOOKUP(FUSIBLES!$C$8,'Fusibles Car.'!$W$49:$AK$66,11,FALSE)</f>
        <v>30.5</v>
      </c>
      <c r="R22" s="167">
        <v>0.5</v>
      </c>
      <c r="S22" s="175">
        <f>HLOOKUP(FUSIBLES!$C$8,'Fusibles Car.'!$W$72:$AK$89,$T21,FALSE)</f>
        <v>40</v>
      </c>
      <c r="T22">
        <v>12</v>
      </c>
      <c r="V22" s="195">
        <v>0.5</v>
      </c>
      <c r="W22" s="167">
        <f>HLOOKUP(FUSIBLES!$C$9,'Fusibles Car.'!$B$4:$S$21,11,FALSE)</f>
        <v>5.85</v>
      </c>
      <c r="X22" s="167">
        <v>0.5</v>
      </c>
      <c r="Y22" s="175">
        <f>HLOOKUP(FUSIBLES!$C$9,'Fusibles Car.'!$B$26:$S$43,$T21,FALSE)</f>
        <v>7.2</v>
      </c>
      <c r="AA22" s="195">
        <v>0.5</v>
      </c>
      <c r="AB22" s="167">
        <f>HLOOKUP(FUSIBLES!$C$10,'Fusibles Car.'!$B$49:$S$66,$T21,FALSE)</f>
        <v>7</v>
      </c>
      <c r="AC22" s="167">
        <v>0.5</v>
      </c>
      <c r="AD22" s="175">
        <f>HLOOKUP(FUSIBLES!$C$10,'Fusibles Car.'!$B$72:$S$89,$T21,FALSE)</f>
        <v>8.4</v>
      </c>
      <c r="AG22" s="195">
        <v>0.1</v>
      </c>
      <c r="AH22" s="167">
        <f>HLOOKUP(FUSIBLES!$C$11,'Fusibles Car.'!$B$94:$S$111,$T21,FALSE)</f>
        <v>38</v>
      </c>
      <c r="AI22" s="167">
        <v>0.1</v>
      </c>
      <c r="AJ22" s="175">
        <f>HLOOKUP(FUSIBLES!$C$11,'Fusibles Car.'!$B$116:$S$133,$T21,FALSE)</f>
        <v>51</v>
      </c>
    </row>
    <row r="23" spans="8:36">
      <c r="H23" s="195">
        <v>0.1</v>
      </c>
      <c r="I23" s="175">
        <f>HLOOKUP(FUSIBLES!C7,'Fusibles Car.'!W4:AL21,12,FALSE)</f>
        <v>36</v>
      </c>
      <c r="J23" s="167">
        <v>0.1</v>
      </c>
      <c r="K23" s="175">
        <f>HLOOKUP(FUSIBLES!C7,'Fusibles Car.'!W26:AL43,12,FALSE)</f>
        <v>45</v>
      </c>
      <c r="P23" s="195">
        <v>0.1</v>
      </c>
      <c r="Q23" s="167">
        <f>HLOOKUP(FUSIBLES!$C$8,'Fusibles Car.'!$W$49:$AK$66,12,FALSE)</f>
        <v>70</v>
      </c>
      <c r="R23" s="167">
        <v>0.1</v>
      </c>
      <c r="S23" s="175">
        <f>HLOOKUP(FUSIBLES!$C$8,'Fusibles Car.'!$W$72:$AK$89,$T22,FALSE)</f>
        <v>105</v>
      </c>
      <c r="T23">
        <v>13</v>
      </c>
      <c r="V23" s="195">
        <v>0.1</v>
      </c>
      <c r="W23" s="167">
        <f>HLOOKUP(FUSIBLES!$C$9,'Fusibles Car.'!$B$4:$S$21,12,FALSE)</f>
        <v>15</v>
      </c>
      <c r="X23" s="167">
        <v>0.1</v>
      </c>
      <c r="Y23" s="175">
        <f>HLOOKUP(FUSIBLES!$C$9,'Fusibles Car.'!$B$26:$S$43,$T22,FALSE)</f>
        <v>20</v>
      </c>
      <c r="AA23" s="195">
        <v>0.1</v>
      </c>
      <c r="AB23" s="167">
        <f>HLOOKUP(FUSIBLES!$C$10,'Fusibles Car.'!$B$49:$S$66,$T22,FALSE)</f>
        <v>17.600000000000001</v>
      </c>
      <c r="AC23" s="167">
        <v>0.1</v>
      </c>
      <c r="AD23" s="175">
        <f>HLOOKUP(FUSIBLES!$C$10,'Fusibles Car.'!$B$72:$S$89,$T22,FALSE)</f>
        <v>23.5</v>
      </c>
      <c r="AG23" s="195">
        <v>0.08</v>
      </c>
      <c r="AH23" s="167">
        <f>HLOOKUP(FUSIBLES!$C$11,'Fusibles Car.'!$B$94:$S$111,$T22,FALSE)</f>
        <v>43</v>
      </c>
      <c r="AI23" s="167">
        <v>0.08</v>
      </c>
      <c r="AJ23" s="175">
        <f>HLOOKUP(FUSIBLES!$C$11,'Fusibles Car.'!$B$116:$S$133,$T22,FALSE)</f>
        <v>58</v>
      </c>
    </row>
    <row r="24" spans="8:36">
      <c r="H24" s="195">
        <v>0.09</v>
      </c>
      <c r="I24" s="175">
        <f>HLOOKUP(FUSIBLES!C7,'Fusibles Car.'!W4:AL21,13,FALSE)</f>
        <v>39</v>
      </c>
      <c r="J24" s="167">
        <v>0.09</v>
      </c>
      <c r="K24" s="175">
        <f>HLOOKUP(FUSIBLES!C7,'Fusibles Car.'!W26:AL43,13,FALSE)</f>
        <v>48</v>
      </c>
      <c r="P24" s="195">
        <v>0.09</v>
      </c>
      <c r="Q24" s="167">
        <f>HLOOKUP(FUSIBLES!$C$8,'Fusibles Car.'!$W$49:$AK$66,13,FALSE)</f>
        <v>77</v>
      </c>
      <c r="R24" s="167">
        <v>0.09</v>
      </c>
      <c r="S24" s="175">
        <f>HLOOKUP(FUSIBLES!$C$8,'Fusibles Car.'!$W$72:$AK$89,$T23,FALSE)</f>
        <v>122</v>
      </c>
      <c r="T24">
        <v>14</v>
      </c>
      <c r="V24" s="195">
        <v>0.09</v>
      </c>
      <c r="W24" s="167">
        <f>HLOOKUP(FUSIBLES!$C$9,'Fusibles Car.'!$B$4:$S$21,13,FALSE)</f>
        <v>15.7</v>
      </c>
      <c r="X24" s="167">
        <v>0.09</v>
      </c>
      <c r="Y24" s="175">
        <f>HLOOKUP(FUSIBLES!$C$9,'Fusibles Car.'!$B$26:$S$43,$T23,FALSE)</f>
        <v>21.5</v>
      </c>
      <c r="AA24" s="195">
        <v>0.09</v>
      </c>
      <c r="AB24" s="167">
        <f>HLOOKUP(FUSIBLES!$C$10,'Fusibles Car.'!$B$49:$S$66,$T23,FALSE)</f>
        <v>18</v>
      </c>
      <c r="AC24" s="167">
        <v>0.09</v>
      </c>
      <c r="AD24" s="175">
        <f>HLOOKUP(FUSIBLES!$C$10,'Fusibles Car.'!$B$72:$S$89,$T23,FALSE)</f>
        <v>25.5</v>
      </c>
      <c r="AG24" s="195">
        <v>0.06</v>
      </c>
      <c r="AH24" s="167">
        <f>HLOOKUP(FUSIBLES!$C$11,'Fusibles Car.'!$B$94:$S$111,$T23,FALSE)</f>
        <v>50</v>
      </c>
      <c r="AI24" s="167">
        <v>0.06</v>
      </c>
      <c r="AJ24" s="175">
        <f>HLOOKUP(FUSIBLES!$C$11,'Fusibles Car.'!$B$116:$S$133,$T23,FALSE)</f>
        <v>71</v>
      </c>
    </row>
    <row r="25" spans="8:36">
      <c r="H25" s="195">
        <v>0.08</v>
      </c>
      <c r="I25" s="175">
        <f>HLOOKUP(FUSIBLES!C7,'Fusibles Car.'!W4:AL21,14,FALSE)</f>
        <v>41</v>
      </c>
      <c r="J25" s="167">
        <v>0.08</v>
      </c>
      <c r="K25" s="175">
        <f>HLOOKUP(FUSIBLES!C7,'Fusibles Car.'!W26:AL43,14,FALSE)</f>
        <v>52</v>
      </c>
      <c r="P25" s="195">
        <v>0.08</v>
      </c>
      <c r="Q25" s="167">
        <f>HLOOKUP(FUSIBLES!$C$8,'Fusibles Car.'!$W$49:$AK$66,14,FALSE)</f>
        <v>89</v>
      </c>
      <c r="R25" s="167">
        <v>0.08</v>
      </c>
      <c r="S25" s="175">
        <f>HLOOKUP(FUSIBLES!$C$8,'Fusibles Car.'!$W$72:$AK$89,$T24,FALSE)</f>
        <v>150</v>
      </c>
      <c r="T25">
        <v>15</v>
      </c>
      <c r="V25" s="195">
        <v>0.08</v>
      </c>
      <c r="W25" s="167">
        <f>HLOOKUP(FUSIBLES!$C$9,'Fusibles Car.'!$B$4:$S$21,14,FALSE)</f>
        <v>17</v>
      </c>
      <c r="X25" s="167">
        <v>0.08</v>
      </c>
      <c r="Y25" s="175">
        <f>HLOOKUP(FUSIBLES!$C$9,'Fusibles Car.'!$B$26:$S$43,$T24,FALSE)</f>
        <v>23.5</v>
      </c>
      <c r="AA25" s="195">
        <v>0.08</v>
      </c>
      <c r="AB25" s="167">
        <f>HLOOKUP(FUSIBLES!$C$10,'Fusibles Car.'!$B$49:$S$66,$T24,FALSE)</f>
        <v>19</v>
      </c>
      <c r="AC25" s="167">
        <v>0.08</v>
      </c>
      <c r="AD25" s="175">
        <f>HLOOKUP(FUSIBLES!$C$10,'Fusibles Car.'!$B$72:$S$89,$T24,FALSE)</f>
        <v>28</v>
      </c>
      <c r="AG25" s="195">
        <v>0.04</v>
      </c>
      <c r="AH25" s="167">
        <f>HLOOKUP(FUSIBLES!$C$11,'Fusibles Car.'!$B$94:$S$111,$T24,FALSE)</f>
        <v>64</v>
      </c>
      <c r="AI25" s="167">
        <v>0.04</v>
      </c>
      <c r="AJ25" s="175">
        <f>HLOOKUP(FUSIBLES!$C$11,'Fusibles Car.'!$B$116:$S$133,$T24,FALSE)</f>
        <v>96</v>
      </c>
    </row>
    <row r="26" spans="8:36">
      <c r="H26" s="195">
        <v>7.0000000000000007E-2</v>
      </c>
      <c r="I26" s="175">
        <f>HLOOKUP(FUSIBLES!C7,'Fusibles Car.'!W4:AL21,15,FALSE)</f>
        <v>44</v>
      </c>
      <c r="J26" s="167">
        <v>7.0000000000000007E-2</v>
      </c>
      <c r="K26" s="175">
        <f>HLOOKUP(FUSIBLES!C7,'Fusibles Car.'!W26:AL43,15,FALSE)</f>
        <v>57</v>
      </c>
      <c r="P26" s="195">
        <v>7.0000000000000007E-2</v>
      </c>
      <c r="Q26" s="167">
        <f>HLOOKUP(FUSIBLES!$C$8,'Fusibles Car.'!$W$49:$AK$66,15,FALSE)</f>
        <v>109</v>
      </c>
      <c r="R26" s="167">
        <v>7.0000000000000007E-2</v>
      </c>
      <c r="S26" s="175">
        <f>HLOOKUP(FUSIBLES!$C$8,'Fusibles Car.'!$W$72:$AK$89,$T25,FALSE)</f>
        <v>220</v>
      </c>
      <c r="T26">
        <v>16</v>
      </c>
      <c r="V26" s="195">
        <v>7.0000000000000007E-2</v>
      </c>
      <c r="W26" s="167">
        <f>HLOOKUP(FUSIBLES!$C$9,'Fusibles Car.'!$B$4:$S$21,15,FALSE)</f>
        <v>18.2</v>
      </c>
      <c r="X26" s="167">
        <v>7.0000000000000007E-2</v>
      </c>
      <c r="Y26" s="175">
        <f>HLOOKUP(FUSIBLES!$C$9,'Fusibles Car.'!$B$26:$S$43,$T25,FALSE)</f>
        <v>26</v>
      </c>
      <c r="AA26" s="195">
        <v>7.0000000000000007E-2</v>
      </c>
      <c r="AB26" s="167">
        <f>HLOOKUP(FUSIBLES!$C$10,'Fusibles Car.'!$B$49:$S$66,$T25,FALSE)</f>
        <v>21</v>
      </c>
      <c r="AC26" s="167">
        <v>7.0000000000000007E-2</v>
      </c>
      <c r="AD26" s="175">
        <f>HLOOKUP(FUSIBLES!$C$10,'Fusibles Car.'!$B$72:$S$89,$T25,FALSE)</f>
        <v>31.5</v>
      </c>
      <c r="AG26" s="195">
        <v>0.03</v>
      </c>
      <c r="AH26" s="167">
        <f>HLOOKUP(FUSIBLES!$C$11,'Fusibles Car.'!$B$94:$S$111,$T25,FALSE)</f>
        <v>76</v>
      </c>
      <c r="AI26" s="167">
        <v>0.03</v>
      </c>
      <c r="AJ26" s="175">
        <f>HLOOKUP(FUSIBLES!$C$11,'Fusibles Car.'!$B$116:$S$133,$T25,FALSE)</f>
        <v>120</v>
      </c>
    </row>
    <row r="27" spans="8:36">
      <c r="H27" s="195">
        <v>0.06</v>
      </c>
      <c r="I27" s="175">
        <f>HLOOKUP(FUSIBLES!C7,'Fusibles Car.'!W4:AL21,16,FALSE)</f>
        <v>48</v>
      </c>
      <c r="J27" s="167">
        <v>0.06</v>
      </c>
      <c r="K27" s="175">
        <f>HLOOKUP(FUSIBLES!C7,'Fusibles Car.'!W26:AL43,16,FALSE)</f>
        <v>64</v>
      </c>
      <c r="P27" s="195">
        <v>0.06</v>
      </c>
      <c r="Q27" s="167">
        <f>HLOOKUP(FUSIBLES!$C$8,'Fusibles Car.'!$W$49:$AK$66,16,FALSE)</f>
        <v>128</v>
      </c>
      <c r="R27" s="167">
        <v>0.06</v>
      </c>
      <c r="S27" s="175">
        <f>HLOOKUP(FUSIBLES!$C$8,'Fusibles Car.'!$W$72:$AK$89,$T26,FALSE)</f>
        <v>300</v>
      </c>
      <c r="T27">
        <v>17</v>
      </c>
      <c r="V27" s="195">
        <v>0.06</v>
      </c>
      <c r="W27" s="167">
        <f>HLOOKUP(FUSIBLES!$C$9,'Fusibles Car.'!$B$4:$S$21,16,FALSE)</f>
        <v>20</v>
      </c>
      <c r="X27" s="167">
        <v>0.06</v>
      </c>
      <c r="Y27" s="175">
        <f>HLOOKUP(FUSIBLES!$C$9,'Fusibles Car.'!$B$26:$S$43,$T26,FALSE)</f>
        <v>29</v>
      </c>
      <c r="AA27" s="195">
        <v>0.06</v>
      </c>
      <c r="AB27" s="167">
        <f>HLOOKUP(FUSIBLES!$C$10,'Fusibles Car.'!$B$49:$S$66,$T26,FALSE)</f>
        <v>22.5</v>
      </c>
      <c r="AC27" s="167">
        <v>0.06</v>
      </c>
      <c r="AD27" s="175">
        <f>HLOOKUP(FUSIBLES!$C$10,'Fusibles Car.'!$B$72:$S$89,$T26,FALSE)</f>
        <v>35.5</v>
      </c>
      <c r="AG27" s="195">
        <v>0.02</v>
      </c>
      <c r="AH27" s="167">
        <f>HLOOKUP(FUSIBLES!$C$11,'Fusibles Car.'!$B$94:$S$111,$T26,FALSE)</f>
        <v>96</v>
      </c>
      <c r="AI27" s="167">
        <v>0.02</v>
      </c>
      <c r="AJ27" s="175">
        <f>HLOOKUP(FUSIBLES!$C$11,'Fusibles Car.'!$B$116:$S$133,$T26,FALSE)</f>
        <v>170</v>
      </c>
    </row>
    <row r="28" spans="8:36">
      <c r="H28" s="195">
        <v>0.05</v>
      </c>
      <c r="I28" s="175">
        <f>HLOOKUP(FUSIBLES!C7,'Fusibles Car.'!W4:AL21,17,FALSE)</f>
        <v>52</v>
      </c>
      <c r="J28" s="167">
        <v>0.05</v>
      </c>
      <c r="K28" s="175">
        <f>HLOOKUP(FUSIBLES!C7,'Fusibles Car.'!W26:AL43,17,FALSE)</f>
        <v>72</v>
      </c>
      <c r="P28" s="195">
        <v>0.05</v>
      </c>
      <c r="Q28" s="167">
        <f>HLOOKUP(FUSIBLES!$C$8,'Fusibles Car.'!$W$49:$AK$66,17,FALSE)</f>
        <v>154</v>
      </c>
      <c r="R28" s="167">
        <v>0.05</v>
      </c>
      <c r="S28" s="175">
        <f>HLOOKUP(FUSIBLES!$C$8,'Fusibles Car.'!$W$72:$AK$89,$T27,FALSE)</f>
        <v>525</v>
      </c>
      <c r="T28">
        <v>18</v>
      </c>
      <c r="V28" s="195">
        <v>0.05</v>
      </c>
      <c r="W28" s="167">
        <f>HLOOKUP(FUSIBLES!$C$9,'Fusibles Car.'!$B$4:$S$21,17,FALSE)</f>
        <v>22</v>
      </c>
      <c r="X28" s="167">
        <v>0.05</v>
      </c>
      <c r="Y28" s="175">
        <f>HLOOKUP(FUSIBLES!$C$9,'Fusibles Car.'!$B$26:$S$43,$T27,FALSE)</f>
        <v>33.5</v>
      </c>
      <c r="AA28" s="195">
        <v>0.04</v>
      </c>
      <c r="AB28" s="167">
        <f>HLOOKUP(FUSIBLES!$C$10,'Fusibles Car.'!$B$49:$S$66,$T27,FALSE)</f>
        <v>28</v>
      </c>
      <c r="AC28" s="167">
        <v>0.04</v>
      </c>
      <c r="AD28" s="175">
        <f>HLOOKUP(FUSIBLES!$C$10,'Fusibles Car.'!$B$72:$S$89,$T27,FALSE)</f>
        <v>50</v>
      </c>
      <c r="AG28" s="195">
        <v>1.4E-2</v>
      </c>
      <c r="AH28" s="167">
        <f>HLOOKUP(FUSIBLES!$C$11,'Fusibles Car.'!$B$94:$S$111,$T27,FALSE)</f>
        <v>118</v>
      </c>
      <c r="AI28" s="167">
        <v>1.4E-2</v>
      </c>
      <c r="AJ28" s="175">
        <f>HLOOKUP(FUSIBLES!$C$11,'Fusibles Car.'!$B$116:$S$133,$T27,FALSE)</f>
        <v>230</v>
      </c>
    </row>
    <row r="29" spans="8:36">
      <c r="H29" s="168">
        <v>0.04</v>
      </c>
      <c r="I29" s="169">
        <f>HLOOKUP(FUSIBLES!C7,'Fusibles Car.'!W4:AL21,18,FALSE)</f>
        <v>58</v>
      </c>
      <c r="J29" s="143">
        <v>0.04</v>
      </c>
      <c r="K29" s="169">
        <f>HLOOKUP(FUSIBLES!C7,'Fusibles Car.'!W26:AL43,18,FALSE)</f>
        <v>84</v>
      </c>
      <c r="P29" s="168">
        <v>0.04</v>
      </c>
      <c r="Q29" s="167">
        <f>HLOOKUP(FUSIBLES!$C$8,'Fusibles Car.'!$W$49:$AK$66,18,FALSE)</f>
        <v>185</v>
      </c>
      <c r="R29" s="143">
        <v>0.04</v>
      </c>
      <c r="S29" s="175">
        <f>HLOOKUP(FUSIBLES!$C$8,'Fusibles Car.'!$W$72:$AK$89,$T28,FALSE)</f>
        <v>1500</v>
      </c>
      <c r="T29" s="167">
        <v>19</v>
      </c>
      <c r="V29" s="168">
        <v>0.04</v>
      </c>
      <c r="W29" s="167">
        <f>HLOOKUP(FUSIBLES!$C$9,'Fusibles Car.'!$B$4:$S$21,18,FALSE)</f>
        <v>25</v>
      </c>
      <c r="X29" s="143">
        <v>0.04</v>
      </c>
      <c r="Y29" s="175">
        <f>HLOOKUP(FUSIBLES!$C$9,'Fusibles Car.'!$B$26:$S$43,$T28,FALSE)</f>
        <v>40</v>
      </c>
      <c r="AA29" s="168">
        <v>1.4E-2</v>
      </c>
      <c r="AB29" s="167">
        <f>HLOOKUP(FUSIBLES!$C$10,'Fusibles Car.'!$B$49:$S$66,$T28,FALSE)</f>
        <v>80</v>
      </c>
      <c r="AC29" s="143">
        <v>1.4E-2</v>
      </c>
      <c r="AD29" s="175">
        <f>HLOOKUP(FUSIBLES!$C$10,'Fusibles Car.'!$B$72:$S$89,$T28,FALSE)</f>
        <v>120</v>
      </c>
      <c r="AG29" s="168">
        <v>0.01</v>
      </c>
      <c r="AH29" s="167">
        <f>HLOOKUP(FUSIBLES!$C$11,'Fusibles Car.'!$B$94:$S$111,$T28,FALSE)</f>
        <v>142</v>
      </c>
      <c r="AI29" s="143">
        <v>0.01</v>
      </c>
      <c r="AJ29" s="175">
        <f>HLOOKUP(FUSIBLES!$C$11,'Fusibles Car.'!$B$116:$S$133,$T28,FALSE)</f>
        <v>2300</v>
      </c>
    </row>
    <row r="31" spans="8:36" ht="15.75" thickBot="1"/>
    <row r="32" spans="8:36" ht="15.75">
      <c r="M32" s="357" t="s">
        <v>943</v>
      </c>
      <c r="N32" s="358"/>
      <c r="O32" t="s">
        <v>946</v>
      </c>
      <c r="Q32" t="s">
        <v>948</v>
      </c>
    </row>
    <row r="33" spans="13:18" ht="15.75">
      <c r="M33" s="280" t="s">
        <v>944</v>
      </c>
      <c r="N33" s="288" t="s">
        <v>945</v>
      </c>
      <c r="O33" t="s">
        <v>947</v>
      </c>
      <c r="P33" t="s">
        <v>945</v>
      </c>
      <c r="Q33" t="s">
        <v>944</v>
      </c>
      <c r="R33" t="s">
        <v>945</v>
      </c>
    </row>
    <row r="34" spans="13:18" ht="15.75">
      <c r="M34" s="280">
        <v>0.1</v>
      </c>
      <c r="N34" s="281">
        <v>43.602000000000004</v>
      </c>
      <c r="O34">
        <v>3600</v>
      </c>
      <c r="P34">
        <v>0.76050000000000006</v>
      </c>
      <c r="Q34">
        <v>0.01</v>
      </c>
      <c r="R34">
        <v>9.75</v>
      </c>
    </row>
    <row r="35" spans="13:18" ht="15.75">
      <c r="M35" s="280">
        <v>2</v>
      </c>
      <c r="N35" s="281">
        <v>9.75</v>
      </c>
      <c r="O35">
        <v>7200</v>
      </c>
      <c r="P35">
        <v>0.65889473684210531</v>
      </c>
      <c r="Q35">
        <v>0.1</v>
      </c>
      <c r="R35">
        <v>4.68</v>
      </c>
    </row>
    <row r="36" spans="13:18" ht="15.75">
      <c r="M36" s="280">
        <v>10</v>
      </c>
      <c r="N36" s="281">
        <v>4.407</v>
      </c>
      <c r="O36">
        <v>14400</v>
      </c>
      <c r="P36">
        <v>0.57678947368421063</v>
      </c>
      <c r="Q36">
        <v>1</v>
      </c>
      <c r="R36">
        <v>2.34</v>
      </c>
    </row>
    <row r="37" spans="13:18" ht="15.75">
      <c r="M37" s="280">
        <v>30</v>
      </c>
      <c r="N37" s="281">
        <v>2.4569999999999999</v>
      </c>
      <c r="O37">
        <v>28800</v>
      </c>
      <c r="P37">
        <v>0.51828947368421052</v>
      </c>
      <c r="Q37">
        <v>10</v>
      </c>
      <c r="R37">
        <v>1.17</v>
      </c>
    </row>
    <row r="38" spans="13:18" ht="15.75">
      <c r="M38" s="280">
        <v>60</v>
      </c>
      <c r="N38" s="281">
        <v>1.8525</v>
      </c>
      <c r="O38">
        <v>86400</v>
      </c>
      <c r="P38">
        <v>0.45157894736842108</v>
      </c>
    </row>
    <row r="39" spans="13:18" ht="15.75">
      <c r="M39" s="280">
        <v>300</v>
      </c>
      <c r="N39" s="281">
        <v>1.17</v>
      </c>
    </row>
    <row r="40" spans="13:18" ht="16.5" thickBot="1">
      <c r="M40" s="290">
        <v>1800</v>
      </c>
      <c r="N40" s="291">
        <v>0.78</v>
      </c>
    </row>
  </sheetData>
  <sheetProtection selectLockedCells="1"/>
  <mergeCells count="10">
    <mergeCell ref="H2:I2"/>
    <mergeCell ref="H11:K11"/>
    <mergeCell ref="M3:N3"/>
    <mergeCell ref="P3:Q3"/>
    <mergeCell ref="V11:Y11"/>
    <mergeCell ref="AA11:AD11"/>
    <mergeCell ref="AG11:AJ11"/>
    <mergeCell ref="M32:N32"/>
    <mergeCell ref="S3:T3"/>
    <mergeCell ref="P11:S11"/>
  </mergeCells>
  <hyperlinks>
    <hyperlink ref="E7" location="'Fusibles Car.'!A1" display="Seleccionar" xr:uid="{00000000-0004-0000-0A00-000000000000}"/>
  </hyperlink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4580" r:id="rId3" name="Fusible VS">
              <controlPr defaultSize="0" print="0" autoFill="0" autoPict="0" macro="[0]!VerGrafico">
                <anchor moveWithCells="1" sizeWithCells="1">
                  <from>
                    <xdr:col>3</xdr:col>
                    <xdr:colOff>57150</xdr:colOff>
                    <xdr:row>6</xdr:row>
                    <xdr:rowOff>28575</xdr:rowOff>
                  </from>
                  <to>
                    <xdr:col>3</xdr:col>
                    <xdr:colOff>1590675</xdr:colOff>
                    <xdr:row>7</xdr:row>
                    <xdr:rowOff>9525</xdr:rowOff>
                  </to>
                </anchor>
              </controlPr>
            </control>
          </mc:Choice>
        </mc:AlternateContent>
        <mc:AlternateContent xmlns:mc="http://schemas.openxmlformats.org/markup-compatibility/2006">
          <mc:Choice Requires="x14">
            <control shapeId="24582" r:id="rId4" name="Button 6">
              <controlPr defaultSize="0" print="0" autoFill="0" autoPict="0" macro="[0]!VerGrafico1">
                <anchor moveWithCells="1" sizeWithCells="1">
                  <from>
                    <xdr:col>3</xdr:col>
                    <xdr:colOff>38100</xdr:colOff>
                    <xdr:row>7</xdr:row>
                    <xdr:rowOff>57150</xdr:rowOff>
                  </from>
                  <to>
                    <xdr:col>3</xdr:col>
                    <xdr:colOff>1600200</xdr:colOff>
                    <xdr:row>8</xdr:row>
                    <xdr:rowOff>28575</xdr:rowOff>
                  </to>
                </anchor>
              </controlPr>
            </control>
          </mc:Choice>
        </mc:AlternateContent>
        <mc:AlternateContent xmlns:mc="http://schemas.openxmlformats.org/markup-compatibility/2006">
          <mc:Choice Requires="x14">
            <control shapeId="24587" r:id="rId5" name="Button 11">
              <controlPr defaultSize="0" print="0" autoFill="0" autoPict="0" macro="[0]!VerGrafico2">
                <anchor moveWithCells="1" sizeWithCells="1">
                  <from>
                    <xdr:col>3</xdr:col>
                    <xdr:colOff>47625</xdr:colOff>
                    <xdr:row>8</xdr:row>
                    <xdr:rowOff>57150</xdr:rowOff>
                  </from>
                  <to>
                    <xdr:col>3</xdr:col>
                    <xdr:colOff>1571625</xdr:colOff>
                    <xdr:row>8</xdr:row>
                    <xdr:rowOff>247650</xdr:rowOff>
                  </to>
                </anchor>
              </controlPr>
            </control>
          </mc:Choice>
        </mc:AlternateContent>
        <mc:AlternateContent xmlns:mc="http://schemas.openxmlformats.org/markup-compatibility/2006">
          <mc:Choice Requires="x14">
            <control shapeId="24590" r:id="rId6" name="Button 14">
              <controlPr defaultSize="0" print="0" autoFill="0" autoPict="0" macro="[0]!VerGrafico3">
                <anchor moveWithCells="1" sizeWithCells="1">
                  <from>
                    <xdr:col>3</xdr:col>
                    <xdr:colOff>66675</xdr:colOff>
                    <xdr:row>9</xdr:row>
                    <xdr:rowOff>76200</xdr:rowOff>
                  </from>
                  <to>
                    <xdr:col>4</xdr:col>
                    <xdr:colOff>0</xdr:colOff>
                    <xdr:row>9</xdr:row>
                    <xdr:rowOff>257175</xdr:rowOff>
                  </to>
                </anchor>
              </controlPr>
            </control>
          </mc:Choice>
        </mc:AlternateContent>
        <mc:AlternateContent xmlns:mc="http://schemas.openxmlformats.org/markup-compatibility/2006">
          <mc:Choice Requires="x14">
            <control shapeId="24591" r:id="rId7" name="Button 15">
              <controlPr defaultSize="0" print="0" autoFill="0" autoPict="0" macro="[0]!VerGrafico4">
                <anchor moveWithCells="1" sizeWithCells="1">
                  <from>
                    <xdr:col>3</xdr:col>
                    <xdr:colOff>66675</xdr:colOff>
                    <xdr:row>10</xdr:row>
                    <xdr:rowOff>9525</xdr:rowOff>
                  </from>
                  <to>
                    <xdr:col>4</xdr:col>
                    <xdr:colOff>0</xdr:colOff>
                    <xdr:row>10</xdr:row>
                    <xdr:rowOff>190500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A00-000000000000}">
          <x14:formula1>
            <xm:f>'Fusibles Car.'!$W$4:$AL$4</xm:f>
          </x14:formula1>
          <xm:sqref>C7</xm:sqref>
        </x14:dataValidation>
        <x14:dataValidation type="list" allowBlank="1" showInputMessage="1" showErrorMessage="1" xr:uid="{00000000-0002-0000-0A00-000001000000}">
          <x14:formula1>
            <xm:f>'Fusibles Car.'!$W$49:$AK$49</xm:f>
          </x14:formula1>
          <xm:sqref>C8</xm:sqref>
        </x14:dataValidation>
        <x14:dataValidation type="list" allowBlank="1" showInputMessage="1" showErrorMessage="1" xr:uid="{00000000-0002-0000-0A00-000002000000}">
          <x14:formula1>
            <xm:f>'Fusibles Car.'!$B$4:$S$4</xm:f>
          </x14:formula1>
          <xm:sqref>C9</xm:sqref>
        </x14:dataValidation>
        <x14:dataValidation type="list" allowBlank="1" showInputMessage="1" showErrorMessage="1" xr:uid="{00000000-0002-0000-0A00-000003000000}">
          <x14:formula1>
            <xm:f>'Fusibles Car.'!$B$49:$S$49</xm:f>
          </x14:formula1>
          <xm:sqref>C10</xm:sqref>
        </x14:dataValidation>
        <x14:dataValidation type="list" allowBlank="1" showInputMessage="1" showErrorMessage="1" xr:uid="{00000000-0002-0000-0A00-000004000000}">
          <x14:formula1>
            <xm:f>'Fusibles Car.'!$B$94:$Q$94</xm:f>
          </x14:formula1>
          <xm:sqref>C11</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4"/>
  <dimension ref="A1:FW135"/>
  <sheetViews>
    <sheetView topLeftCell="A79" zoomScale="53" zoomScaleNormal="53" workbookViewId="0">
      <selection activeCell="B94" sqref="B94"/>
    </sheetView>
  </sheetViews>
  <sheetFormatPr baseColWidth="10" defaultRowHeight="15"/>
  <sheetData>
    <row r="1" spans="1:179" s="236" customFormat="1" ht="23.25">
      <c r="A1" s="235" t="s">
        <v>870</v>
      </c>
      <c r="V1" s="237" t="s">
        <v>871</v>
      </c>
      <c r="W1" s="238"/>
      <c r="X1" s="238"/>
      <c r="Y1" s="238"/>
      <c r="Z1" s="238"/>
      <c r="AA1" s="238"/>
      <c r="AB1" s="238"/>
      <c r="AC1" s="238"/>
      <c r="AD1" s="238"/>
      <c r="AE1" s="238"/>
      <c r="AF1" s="238"/>
      <c r="AG1" s="238"/>
      <c r="AH1" s="238"/>
      <c r="AI1" s="238"/>
      <c r="AJ1" s="238"/>
      <c r="AK1" s="238"/>
      <c r="AL1" s="238"/>
      <c r="AN1" s="239"/>
      <c r="AO1" s="239"/>
      <c r="AP1" s="239"/>
      <c r="AQ1" s="239"/>
      <c r="AR1" s="239"/>
      <c r="AS1" s="239"/>
      <c r="AT1" s="239"/>
      <c r="AU1" s="239"/>
      <c r="AV1" s="239"/>
      <c r="AW1" s="239"/>
      <c r="AX1" s="239"/>
      <c r="AY1" s="239"/>
      <c r="AZ1" s="239"/>
      <c r="BA1" s="239"/>
      <c r="BB1" s="239"/>
      <c r="BC1" s="239"/>
      <c r="BD1" s="239"/>
      <c r="BE1" s="239"/>
      <c r="BF1" s="239"/>
      <c r="BG1" s="239"/>
      <c r="BH1" s="239"/>
      <c r="BI1" s="239"/>
      <c r="BJ1" s="239"/>
      <c r="BK1" s="239"/>
      <c r="BL1" s="239"/>
      <c r="BM1" s="239"/>
      <c r="BN1" s="239"/>
      <c r="BO1" s="239"/>
      <c r="BP1" s="239"/>
      <c r="BQ1" s="239"/>
      <c r="BR1" s="239"/>
      <c r="BS1" s="239"/>
      <c r="BT1" s="239"/>
      <c r="BU1" s="239"/>
      <c r="BV1" s="239"/>
      <c r="BW1" s="239"/>
      <c r="BX1" s="239"/>
      <c r="BY1" s="239"/>
      <c r="BZ1" s="239"/>
      <c r="CA1" s="239"/>
      <c r="CB1" s="239"/>
      <c r="CC1" s="239"/>
      <c r="CD1" s="239"/>
      <c r="CE1" s="239"/>
      <c r="CF1" s="239"/>
      <c r="CG1" s="239"/>
      <c r="CH1" s="239"/>
      <c r="CI1" s="239"/>
      <c r="CJ1" s="239"/>
      <c r="CK1" s="239"/>
      <c r="CL1" s="239"/>
      <c r="CM1" s="239"/>
      <c r="CN1" s="239"/>
      <c r="CO1" s="239"/>
      <c r="CP1" s="239"/>
      <c r="CQ1" s="239"/>
      <c r="CR1" s="239"/>
      <c r="CS1" s="239"/>
      <c r="CT1" s="239"/>
      <c r="CU1" s="239"/>
      <c r="CV1" s="239"/>
      <c r="CW1" s="239"/>
      <c r="CX1" s="239"/>
      <c r="CY1" s="239"/>
      <c r="CZ1" s="239"/>
      <c r="DA1" s="239"/>
      <c r="DB1" s="239"/>
      <c r="DC1" s="239"/>
      <c r="DD1" s="239"/>
      <c r="DE1" s="239"/>
      <c r="DF1" s="239"/>
      <c r="DG1" s="239"/>
      <c r="DH1" s="239"/>
      <c r="DI1" s="239"/>
      <c r="DJ1" s="239"/>
      <c r="DK1" s="239"/>
      <c r="DL1" s="239"/>
      <c r="DM1" s="239"/>
      <c r="DN1" s="239"/>
      <c r="DO1" s="239"/>
      <c r="DP1" s="239"/>
      <c r="DQ1" s="239"/>
      <c r="DR1" s="239"/>
      <c r="DS1" s="239"/>
      <c r="DT1" s="239"/>
      <c r="DU1" s="239"/>
      <c r="DV1" s="239"/>
      <c r="DW1" s="239"/>
      <c r="DX1" s="239"/>
      <c r="DY1" s="239"/>
      <c r="DZ1" s="239"/>
      <c r="EA1" s="239"/>
      <c r="EB1" s="239"/>
      <c r="EC1" s="239"/>
      <c r="ED1" s="239"/>
      <c r="EE1" s="239"/>
      <c r="EF1" s="239"/>
      <c r="EG1" s="239"/>
      <c r="EH1" s="239"/>
      <c r="EI1" s="239"/>
      <c r="EJ1" s="239"/>
      <c r="EK1" s="239"/>
      <c r="EL1" s="239"/>
      <c r="EM1" s="239"/>
      <c r="EN1" s="239"/>
      <c r="EO1" s="239"/>
      <c r="EP1" s="239"/>
      <c r="EQ1" s="239"/>
      <c r="ER1" s="239"/>
      <c r="ES1" s="239"/>
      <c r="ET1" s="239"/>
      <c r="EU1" s="239"/>
      <c r="EV1" s="239"/>
      <c r="EW1" s="239"/>
      <c r="EX1" s="239"/>
      <c r="EY1" s="239"/>
      <c r="EZ1" s="239"/>
      <c r="FA1" s="239"/>
      <c r="FB1" s="239"/>
      <c r="FC1" s="239"/>
      <c r="FD1" s="239"/>
      <c r="FE1" s="239"/>
      <c r="FF1" s="239"/>
      <c r="FG1" s="239"/>
      <c r="FH1" s="239"/>
      <c r="FI1" s="239"/>
      <c r="FJ1" s="239"/>
      <c r="FK1" s="239"/>
      <c r="FL1" s="239"/>
      <c r="FM1" s="239"/>
      <c r="FN1" s="239"/>
      <c r="FO1" s="239"/>
      <c r="FP1" s="239"/>
      <c r="FQ1" s="239"/>
      <c r="FR1" s="239"/>
      <c r="FS1" s="239"/>
      <c r="FT1" s="239"/>
      <c r="FU1" s="239"/>
      <c r="FV1" s="239"/>
      <c r="FW1" s="239"/>
    </row>
    <row r="2" spans="1:179" s="236" customFormat="1">
      <c r="B2" s="240"/>
      <c r="C2" s="240"/>
      <c r="V2" s="241"/>
      <c r="W2" s="242"/>
      <c r="X2" s="242"/>
      <c r="Y2" s="241"/>
      <c r="Z2" s="241"/>
      <c r="AA2" s="241"/>
      <c r="AB2" s="241"/>
      <c r="AC2" s="241"/>
      <c r="AD2" s="241"/>
      <c r="AE2" s="241"/>
      <c r="AF2" s="241"/>
      <c r="AG2" s="241"/>
      <c r="AH2" s="241"/>
      <c r="AI2" s="241"/>
      <c r="AJ2" s="241"/>
      <c r="AK2" s="241"/>
      <c r="AL2" s="241"/>
      <c r="AN2" s="239"/>
      <c r="AO2" s="239"/>
      <c r="AP2" s="239"/>
      <c r="AQ2" s="239"/>
      <c r="AR2" s="239"/>
      <c r="AS2" s="239"/>
      <c r="AT2" s="239"/>
      <c r="AU2" s="239"/>
      <c r="AV2" s="239"/>
      <c r="AW2" s="239"/>
      <c r="AX2" s="239"/>
      <c r="AY2" s="239"/>
      <c r="AZ2" s="239"/>
      <c r="BA2" s="239"/>
      <c r="BB2" s="239"/>
      <c r="BC2" s="239"/>
      <c r="BD2" s="239"/>
      <c r="BE2" s="239"/>
      <c r="BF2" s="239"/>
      <c r="BG2" s="239"/>
      <c r="BH2" s="239"/>
      <c r="BI2" s="239"/>
      <c r="BJ2" s="239"/>
      <c r="BK2" s="239"/>
      <c r="BL2" s="239"/>
      <c r="BM2" s="239"/>
      <c r="BN2" s="239"/>
      <c r="BO2" s="239"/>
      <c r="BP2" s="239"/>
      <c r="BQ2" s="239"/>
      <c r="BR2" s="239"/>
      <c r="BS2" s="239"/>
      <c r="BT2" s="239"/>
      <c r="BU2" s="239"/>
      <c r="BV2" s="239"/>
      <c r="BW2" s="239"/>
      <c r="BX2" s="239"/>
      <c r="BY2" s="239"/>
      <c r="BZ2" s="239"/>
      <c r="CA2" s="239"/>
      <c r="CB2" s="239"/>
      <c r="CC2" s="239"/>
      <c r="CD2" s="239"/>
      <c r="CE2" s="239"/>
      <c r="CF2" s="239"/>
      <c r="CG2" s="239"/>
      <c r="CH2" s="239"/>
      <c r="CI2" s="239"/>
      <c r="CJ2" s="239"/>
      <c r="CK2" s="239"/>
      <c r="CL2" s="239"/>
      <c r="CM2" s="239"/>
      <c r="CN2" s="239"/>
      <c r="CO2" s="239"/>
      <c r="CP2" s="239"/>
      <c r="CQ2" s="239"/>
      <c r="CR2" s="239"/>
      <c r="CS2" s="239"/>
      <c r="CT2" s="239"/>
      <c r="CU2" s="239"/>
      <c r="CV2" s="239"/>
      <c r="CW2" s="239"/>
      <c r="CX2" s="239"/>
      <c r="CY2" s="239"/>
      <c r="CZ2" s="239"/>
      <c r="DA2" s="239"/>
      <c r="DB2" s="239"/>
      <c r="DC2" s="239"/>
      <c r="DD2" s="239"/>
      <c r="DE2" s="239"/>
      <c r="DF2" s="239"/>
      <c r="DG2" s="239"/>
      <c r="DH2" s="239"/>
      <c r="DI2" s="239"/>
      <c r="DJ2" s="239"/>
      <c r="DK2" s="239"/>
      <c r="DL2" s="239"/>
      <c r="DM2" s="239"/>
      <c r="DN2" s="239"/>
      <c r="DO2" s="239"/>
      <c r="DP2" s="239"/>
      <c r="DQ2" s="239"/>
      <c r="DR2" s="239"/>
      <c r="DS2" s="239"/>
      <c r="DT2" s="239"/>
      <c r="DU2" s="239"/>
      <c r="DV2" s="239"/>
      <c r="DW2" s="239"/>
      <c r="DX2" s="239"/>
      <c r="DY2" s="239"/>
      <c r="DZ2" s="239"/>
      <c r="EA2" s="239"/>
      <c r="EB2" s="239"/>
      <c r="EC2" s="239"/>
      <c r="ED2" s="239"/>
      <c r="EE2" s="239"/>
      <c r="EF2" s="239"/>
      <c r="EG2" s="239"/>
      <c r="EH2" s="239"/>
      <c r="EI2" s="239"/>
      <c r="EJ2" s="239"/>
      <c r="EK2" s="239"/>
      <c r="EL2" s="239"/>
      <c r="EM2" s="239"/>
      <c r="EN2" s="239"/>
      <c r="EO2" s="239"/>
      <c r="EP2" s="239"/>
      <c r="EQ2" s="239"/>
      <c r="ER2" s="239"/>
      <c r="ES2" s="239"/>
      <c r="ET2" s="239"/>
      <c r="EU2" s="239"/>
      <c r="EV2" s="239"/>
      <c r="EW2" s="239"/>
      <c r="EX2" s="239"/>
      <c r="EY2" s="239"/>
      <c r="EZ2" s="239"/>
      <c r="FA2" s="239"/>
      <c r="FB2" s="239"/>
      <c r="FC2" s="239"/>
      <c r="FD2" s="239"/>
      <c r="FE2" s="239"/>
      <c r="FF2" s="239"/>
      <c r="FG2" s="239"/>
      <c r="FH2" s="239"/>
      <c r="FI2" s="239"/>
      <c r="FJ2" s="239"/>
      <c r="FK2" s="239"/>
      <c r="FL2" s="239"/>
      <c r="FM2" s="239"/>
      <c r="FN2" s="239"/>
      <c r="FO2" s="239"/>
      <c r="FP2" s="239"/>
      <c r="FQ2" s="239"/>
      <c r="FR2" s="239"/>
      <c r="FS2" s="239"/>
      <c r="FT2" s="239"/>
      <c r="FU2" s="239"/>
      <c r="FV2" s="239"/>
      <c r="FW2" s="239"/>
    </row>
    <row r="3" spans="1:179" s="236" customFormat="1">
      <c r="A3" s="243"/>
      <c r="F3" s="244"/>
      <c r="G3" s="244" t="s">
        <v>872</v>
      </c>
      <c r="H3" s="244"/>
      <c r="I3" s="244"/>
      <c r="J3" s="244"/>
      <c r="K3" s="244"/>
      <c r="L3" s="244"/>
      <c r="M3" s="244"/>
      <c r="N3" s="244"/>
      <c r="O3" s="244"/>
      <c r="V3" s="245"/>
      <c r="W3" s="241"/>
      <c r="X3" s="241"/>
      <c r="Y3" s="241"/>
      <c r="Z3" s="241"/>
      <c r="AA3" s="241"/>
      <c r="AB3" s="246" t="s">
        <v>872</v>
      </c>
      <c r="AC3" s="246"/>
      <c r="AD3" s="246"/>
      <c r="AE3" s="246"/>
      <c r="AF3" s="246"/>
      <c r="AG3" s="246"/>
      <c r="AH3" s="246"/>
      <c r="AI3" s="246"/>
      <c r="AJ3" s="246"/>
      <c r="AK3" s="241"/>
      <c r="AL3" s="241"/>
      <c r="AN3" s="239"/>
      <c r="AO3" s="239"/>
      <c r="AP3" s="239"/>
      <c r="AQ3" s="239"/>
      <c r="AR3" s="239"/>
      <c r="AS3" s="239"/>
      <c r="AT3" s="239"/>
      <c r="AU3" s="239"/>
      <c r="AV3" s="239"/>
      <c r="AW3" s="239"/>
      <c r="AX3" s="239"/>
      <c r="AY3" s="239"/>
      <c r="AZ3" s="239"/>
      <c r="BA3" s="239"/>
      <c r="BB3" s="239"/>
      <c r="BC3" s="239"/>
      <c r="BD3" s="239"/>
      <c r="BE3" s="239"/>
      <c r="BF3" s="239"/>
      <c r="BG3" s="239"/>
      <c r="BH3" s="239"/>
      <c r="BI3" s="239"/>
      <c r="BJ3" s="239"/>
      <c r="BK3" s="239"/>
      <c r="BL3" s="239"/>
      <c r="BM3" s="239"/>
      <c r="BN3" s="239"/>
      <c r="BO3" s="239"/>
      <c r="BP3" s="239"/>
      <c r="BQ3" s="239"/>
      <c r="BR3" s="239"/>
      <c r="BS3" s="239"/>
      <c r="BT3" s="239"/>
      <c r="BU3" s="239"/>
      <c r="BV3" s="239"/>
      <c r="BW3" s="239"/>
      <c r="BX3" s="239"/>
      <c r="BY3" s="239"/>
      <c r="BZ3" s="239"/>
      <c r="CA3" s="239"/>
      <c r="CB3" s="239"/>
      <c r="CC3" s="239"/>
      <c r="CD3" s="239"/>
      <c r="CE3" s="239"/>
      <c r="CF3" s="239"/>
      <c r="CG3" s="239"/>
      <c r="CH3" s="239"/>
      <c r="CI3" s="239"/>
      <c r="CJ3" s="239"/>
      <c r="CK3" s="239"/>
      <c r="CL3" s="239"/>
      <c r="CM3" s="239"/>
      <c r="CN3" s="239"/>
      <c r="CO3" s="239"/>
      <c r="CP3" s="239"/>
      <c r="CQ3" s="239"/>
      <c r="CR3" s="239"/>
      <c r="CS3" s="239"/>
      <c r="CT3" s="239"/>
      <c r="CU3" s="239"/>
      <c r="CV3" s="239"/>
      <c r="CW3" s="239"/>
      <c r="CX3" s="239"/>
      <c r="CY3" s="239"/>
      <c r="CZ3" s="239"/>
      <c r="DA3" s="239"/>
      <c r="DB3" s="239"/>
      <c r="DC3" s="239"/>
      <c r="DD3" s="239"/>
      <c r="DE3" s="239"/>
      <c r="DF3" s="239"/>
      <c r="DG3" s="239"/>
      <c r="DH3" s="239"/>
      <c r="DI3" s="239"/>
      <c r="DJ3" s="239"/>
      <c r="DK3" s="239"/>
      <c r="DL3" s="239"/>
      <c r="DM3" s="239"/>
      <c r="DN3" s="239"/>
      <c r="DO3" s="239"/>
      <c r="DP3" s="239"/>
      <c r="DQ3" s="239"/>
      <c r="DR3" s="239"/>
      <c r="DS3" s="239"/>
      <c r="DT3" s="239"/>
      <c r="DU3" s="239"/>
      <c r="DV3" s="239"/>
      <c r="DW3" s="239"/>
      <c r="DX3" s="239"/>
      <c r="DY3" s="239"/>
      <c r="DZ3" s="239"/>
      <c r="EA3" s="239"/>
      <c r="EB3" s="239"/>
      <c r="EC3" s="239"/>
      <c r="ED3" s="239"/>
      <c r="EE3" s="239"/>
      <c r="EF3" s="239"/>
      <c r="EG3" s="239"/>
      <c r="EH3" s="239"/>
      <c r="EI3" s="239"/>
      <c r="EJ3" s="239"/>
      <c r="EK3" s="239"/>
      <c r="EL3" s="239"/>
      <c r="EM3" s="239"/>
      <c r="EN3" s="239"/>
      <c r="EO3" s="239"/>
      <c r="EP3" s="239"/>
      <c r="EQ3" s="239"/>
      <c r="ER3" s="239"/>
      <c r="ES3" s="239"/>
      <c r="ET3" s="239"/>
      <c r="EU3" s="239"/>
      <c r="EV3" s="239"/>
      <c r="EW3" s="239"/>
      <c r="EX3" s="239"/>
      <c r="EY3" s="239"/>
      <c r="EZ3" s="239"/>
      <c r="FA3" s="239"/>
      <c r="FB3" s="239"/>
      <c r="FC3" s="239"/>
      <c r="FD3" s="239"/>
      <c r="FE3" s="239"/>
      <c r="FF3" s="239"/>
      <c r="FG3" s="239"/>
      <c r="FH3" s="239"/>
      <c r="FI3" s="239"/>
      <c r="FJ3" s="239"/>
      <c r="FK3" s="239"/>
      <c r="FL3" s="239"/>
      <c r="FM3" s="239"/>
      <c r="FN3" s="239"/>
      <c r="FO3" s="239"/>
      <c r="FP3" s="239"/>
      <c r="FQ3" s="239"/>
      <c r="FR3" s="239"/>
      <c r="FS3" s="239"/>
      <c r="FT3" s="239"/>
      <c r="FU3" s="239"/>
      <c r="FV3" s="239"/>
      <c r="FW3" s="239"/>
    </row>
    <row r="4" spans="1:179" s="236" customFormat="1" ht="18">
      <c r="A4" s="247" t="s">
        <v>873</v>
      </c>
      <c r="B4" s="248" t="s">
        <v>874</v>
      </c>
      <c r="C4" s="248" t="s">
        <v>875</v>
      </c>
      <c r="D4" s="248" t="s">
        <v>876</v>
      </c>
      <c r="E4" s="248" t="s">
        <v>877</v>
      </c>
      <c r="F4" s="248" t="s">
        <v>878</v>
      </c>
      <c r="G4" s="248" t="s">
        <v>879</v>
      </c>
      <c r="H4" s="248" t="s">
        <v>880</v>
      </c>
      <c r="I4" s="248" t="s">
        <v>881</v>
      </c>
      <c r="J4" s="248" t="s">
        <v>882</v>
      </c>
      <c r="K4" s="248" t="s">
        <v>883</v>
      </c>
      <c r="L4" s="248" t="s">
        <v>884</v>
      </c>
      <c r="M4" s="248" t="s">
        <v>885</v>
      </c>
      <c r="N4" s="248" t="s">
        <v>886</v>
      </c>
      <c r="O4" s="248" t="s">
        <v>887</v>
      </c>
      <c r="P4" s="248" t="s">
        <v>888</v>
      </c>
      <c r="Q4" s="248" t="s">
        <v>889</v>
      </c>
      <c r="R4" s="248" t="s">
        <v>890</v>
      </c>
      <c r="S4" s="248" t="s">
        <v>891</v>
      </c>
      <c r="V4" s="249" t="s">
        <v>892</v>
      </c>
      <c r="W4" s="250">
        <v>0.4</v>
      </c>
      <c r="X4" s="250">
        <v>0.6</v>
      </c>
      <c r="Y4" s="250">
        <v>0.7</v>
      </c>
      <c r="Z4" s="250">
        <v>1</v>
      </c>
      <c r="AA4" s="250">
        <v>1.3</v>
      </c>
      <c r="AB4" s="250">
        <v>1.4</v>
      </c>
      <c r="AC4" s="250">
        <v>1.6</v>
      </c>
      <c r="AD4" s="250">
        <v>2.1</v>
      </c>
      <c r="AE4" s="250">
        <v>3.1</v>
      </c>
      <c r="AF4" s="250">
        <v>3.5</v>
      </c>
      <c r="AG4" s="250">
        <v>5.2</v>
      </c>
      <c r="AH4" s="250">
        <v>6.3</v>
      </c>
      <c r="AI4" s="250">
        <v>7.8</v>
      </c>
      <c r="AJ4" s="250">
        <v>10.4</v>
      </c>
      <c r="AK4" s="250">
        <v>14</v>
      </c>
      <c r="AL4" s="250">
        <v>21</v>
      </c>
      <c r="AN4" s="239"/>
      <c r="AO4" s="239"/>
      <c r="AP4" s="239"/>
      <c r="AQ4" s="239"/>
      <c r="AR4" s="239"/>
      <c r="AS4" s="239"/>
      <c r="AT4" s="239"/>
      <c r="AU4" s="239"/>
      <c r="AV4" s="239"/>
      <c r="AW4" s="239"/>
      <c r="AX4" s="239"/>
      <c r="AY4" s="239"/>
      <c r="AZ4" s="239"/>
      <c r="BA4" s="239"/>
      <c r="BB4" s="239"/>
      <c r="BC4" s="239"/>
      <c r="BD4" s="239"/>
      <c r="BE4" s="239"/>
      <c r="BF4" s="239"/>
      <c r="BG4" s="239"/>
      <c r="BH4" s="239"/>
      <c r="BI4" s="239"/>
      <c r="BJ4" s="239"/>
      <c r="BK4" s="239"/>
      <c r="BL4" s="239"/>
      <c r="BM4" s="239"/>
      <c r="BN4" s="239"/>
      <c r="BO4" s="239"/>
      <c r="BP4" s="239"/>
      <c r="BQ4" s="239"/>
      <c r="BR4" s="239"/>
      <c r="BS4" s="239"/>
      <c r="BT4" s="239"/>
      <c r="BU4" s="239"/>
      <c r="BV4" s="239"/>
      <c r="BW4" s="239"/>
      <c r="BX4" s="239"/>
      <c r="BY4" s="239"/>
      <c r="BZ4" s="239"/>
      <c r="CA4" s="239"/>
      <c r="CB4" s="239"/>
      <c r="CC4" s="239"/>
      <c r="CD4" s="239"/>
      <c r="CE4" s="239"/>
      <c r="CF4" s="239"/>
      <c r="CG4" s="239"/>
      <c r="CH4" s="239"/>
      <c r="CI4" s="239"/>
      <c r="CJ4" s="239"/>
      <c r="CK4" s="239"/>
      <c r="CL4" s="239"/>
      <c r="CM4" s="239"/>
      <c r="CN4" s="239"/>
      <c r="CO4" s="239"/>
      <c r="CP4" s="239"/>
      <c r="CQ4" s="239"/>
      <c r="CR4" s="239"/>
      <c r="CS4" s="239"/>
      <c r="CT4" s="239"/>
      <c r="CU4" s="239"/>
      <c r="CV4" s="239"/>
      <c r="CW4" s="239"/>
      <c r="CX4" s="239"/>
      <c r="CY4" s="239"/>
      <c r="CZ4" s="239"/>
      <c r="DA4" s="239"/>
      <c r="DB4" s="239"/>
      <c r="DC4" s="239"/>
      <c r="DD4" s="239"/>
      <c r="DE4" s="239"/>
      <c r="DF4" s="239"/>
      <c r="DG4" s="239"/>
      <c r="DH4" s="239"/>
      <c r="DI4" s="239"/>
      <c r="DJ4" s="239"/>
      <c r="DK4" s="239"/>
      <c r="DL4" s="239"/>
      <c r="DM4" s="239"/>
      <c r="DN4" s="239"/>
      <c r="DO4" s="239"/>
      <c r="DP4" s="239"/>
      <c r="DQ4" s="239"/>
      <c r="DR4" s="239"/>
      <c r="DS4" s="239"/>
      <c r="DT4" s="239"/>
      <c r="DU4" s="239"/>
      <c r="DV4" s="239"/>
      <c r="DW4" s="239"/>
      <c r="DX4" s="239"/>
      <c r="DY4" s="239"/>
      <c r="DZ4" s="239"/>
      <c r="EA4" s="239"/>
      <c r="EB4" s="239"/>
      <c r="EC4" s="239"/>
      <c r="ED4" s="239"/>
      <c r="EE4" s="239"/>
      <c r="EF4" s="239"/>
      <c r="EG4" s="239"/>
      <c r="EH4" s="239"/>
      <c r="EI4" s="239"/>
      <c r="EJ4" s="239"/>
      <c r="EK4" s="239"/>
      <c r="EL4" s="239"/>
      <c r="EM4" s="239"/>
      <c r="EN4" s="239"/>
      <c r="EO4" s="239"/>
      <c r="EP4" s="239"/>
      <c r="EQ4" s="239"/>
      <c r="ER4" s="239"/>
      <c r="ES4" s="239"/>
      <c r="ET4" s="239"/>
      <c r="EU4" s="239"/>
      <c r="EV4" s="239"/>
      <c r="EW4" s="239"/>
      <c r="EX4" s="239"/>
      <c r="EY4" s="239"/>
      <c r="EZ4" s="239"/>
      <c r="FA4" s="239"/>
      <c r="FB4" s="239"/>
      <c r="FC4" s="239"/>
      <c r="FD4" s="239"/>
      <c r="FE4" s="239"/>
      <c r="FF4" s="239"/>
      <c r="FG4" s="239"/>
      <c r="FH4" s="239"/>
      <c r="FI4" s="239"/>
      <c r="FJ4" s="239"/>
      <c r="FK4" s="239"/>
      <c r="FL4" s="239"/>
      <c r="FM4" s="239"/>
      <c r="FN4" s="239"/>
      <c r="FO4" s="239"/>
      <c r="FP4" s="239"/>
      <c r="FQ4" s="239"/>
      <c r="FR4" s="239"/>
      <c r="FS4" s="239"/>
      <c r="FT4" s="239"/>
      <c r="FU4" s="239"/>
      <c r="FV4" s="239"/>
      <c r="FW4" s="239"/>
    </row>
    <row r="5" spans="1:179" s="236" customFormat="1" ht="18">
      <c r="A5" s="251">
        <v>300</v>
      </c>
      <c r="B5" s="252">
        <v>2</v>
      </c>
      <c r="C5" s="252">
        <v>4</v>
      </c>
      <c r="D5" s="252">
        <v>6</v>
      </c>
      <c r="E5" s="252">
        <v>12</v>
      </c>
      <c r="F5" s="247">
        <v>15</v>
      </c>
      <c r="G5" s="252">
        <v>19.3</v>
      </c>
      <c r="H5" s="252">
        <v>25</v>
      </c>
      <c r="I5" s="252">
        <v>30</v>
      </c>
      <c r="J5" s="252">
        <v>39</v>
      </c>
      <c r="K5" s="252">
        <v>49</v>
      </c>
      <c r="L5" s="252">
        <v>62</v>
      </c>
      <c r="M5" s="252">
        <v>80</v>
      </c>
      <c r="N5" s="252">
        <v>101</v>
      </c>
      <c r="O5" s="252">
        <v>128</v>
      </c>
      <c r="P5" s="252">
        <v>155</v>
      </c>
      <c r="Q5" s="252">
        <v>200</v>
      </c>
      <c r="R5" s="252">
        <v>310</v>
      </c>
      <c r="S5" s="252">
        <v>480</v>
      </c>
      <c r="V5" s="253">
        <v>300</v>
      </c>
      <c r="W5" s="254">
        <v>1.2</v>
      </c>
      <c r="X5" s="254">
        <v>1.9</v>
      </c>
      <c r="Y5" s="254">
        <v>2.1</v>
      </c>
      <c r="Z5" s="254">
        <v>3.1</v>
      </c>
      <c r="AA5" s="254">
        <v>3.9</v>
      </c>
      <c r="AB5" s="254">
        <v>4.2</v>
      </c>
      <c r="AC5" s="254">
        <v>4.8</v>
      </c>
      <c r="AD5" s="254">
        <v>6.3</v>
      </c>
      <c r="AE5" s="254">
        <v>9.6</v>
      </c>
      <c r="AF5" s="254">
        <v>11</v>
      </c>
      <c r="AG5" s="254">
        <v>15</v>
      </c>
      <c r="AH5" s="254">
        <v>18</v>
      </c>
      <c r="AI5" s="254">
        <v>24</v>
      </c>
      <c r="AJ5" s="254">
        <v>29</v>
      </c>
      <c r="AK5" s="254">
        <v>44</v>
      </c>
      <c r="AL5" s="254">
        <v>69</v>
      </c>
      <c r="AN5" s="239"/>
      <c r="AO5" s="239"/>
      <c r="AP5" s="239"/>
      <c r="AQ5" s="239"/>
      <c r="AR5" s="239"/>
      <c r="AS5" s="239"/>
      <c r="AT5" s="239"/>
      <c r="AU5" s="239"/>
      <c r="AV5" s="239"/>
      <c r="AW5" s="239"/>
      <c r="AX5" s="239"/>
      <c r="AY5" s="239"/>
      <c r="AZ5" s="239"/>
      <c r="BA5" s="239"/>
      <c r="BB5" s="239"/>
      <c r="BC5" s="239"/>
      <c r="BD5" s="239"/>
      <c r="BE5" s="239"/>
      <c r="BF5" s="239"/>
      <c r="BG5" s="239"/>
      <c r="BH5" s="239"/>
      <c r="BI5" s="239"/>
      <c r="BJ5" s="239"/>
      <c r="BK5" s="239"/>
      <c r="BL5" s="239"/>
      <c r="BM5" s="239"/>
      <c r="BN5" s="239"/>
      <c r="BO5" s="239"/>
      <c r="BP5" s="239"/>
      <c r="BQ5" s="239"/>
      <c r="BR5" s="239"/>
      <c r="BS5" s="239"/>
      <c r="BT5" s="239"/>
      <c r="BU5" s="239"/>
      <c r="BV5" s="239"/>
      <c r="BW5" s="239"/>
      <c r="BX5" s="239"/>
      <c r="BY5" s="239"/>
      <c r="BZ5" s="239"/>
      <c r="CA5" s="239"/>
      <c r="CB5" s="239"/>
      <c r="CC5" s="239"/>
      <c r="CD5" s="239"/>
      <c r="CE5" s="239"/>
      <c r="CF5" s="239"/>
      <c r="CG5" s="239"/>
      <c r="CH5" s="239"/>
      <c r="CI5" s="239"/>
      <c r="CJ5" s="239"/>
      <c r="CK5" s="239"/>
      <c r="CL5" s="239"/>
      <c r="CM5" s="239"/>
      <c r="CN5" s="239"/>
      <c r="CO5" s="239"/>
      <c r="CP5" s="239"/>
      <c r="CQ5" s="239"/>
      <c r="CR5" s="239"/>
      <c r="CS5" s="239"/>
      <c r="CT5" s="239"/>
      <c r="CU5" s="239"/>
      <c r="CV5" s="239"/>
      <c r="CW5" s="239"/>
      <c r="CX5" s="239"/>
      <c r="CY5" s="239"/>
      <c r="CZ5" s="239"/>
      <c r="DA5" s="239"/>
      <c r="DB5" s="239"/>
      <c r="DC5" s="239"/>
      <c r="DD5" s="239"/>
      <c r="DE5" s="239"/>
      <c r="DF5" s="239"/>
      <c r="DG5" s="239"/>
      <c r="DH5" s="239"/>
      <c r="DI5" s="239"/>
      <c r="DJ5" s="239"/>
      <c r="DK5" s="239"/>
      <c r="DL5" s="239"/>
      <c r="DM5" s="239"/>
      <c r="DN5" s="239"/>
      <c r="DO5" s="239"/>
      <c r="DP5" s="239"/>
      <c r="DQ5" s="239"/>
      <c r="DR5" s="239"/>
      <c r="DS5" s="239"/>
      <c r="DT5" s="239"/>
      <c r="DU5" s="239"/>
      <c r="DV5" s="239"/>
      <c r="DW5" s="239"/>
      <c r="DX5" s="239"/>
      <c r="DY5" s="239"/>
      <c r="DZ5" s="239"/>
      <c r="EA5" s="239"/>
      <c r="EB5" s="239"/>
      <c r="EC5" s="239"/>
      <c r="ED5" s="239"/>
      <c r="EE5" s="239"/>
      <c r="EF5" s="239"/>
      <c r="EG5" s="239"/>
      <c r="EH5" s="239"/>
      <c r="EI5" s="239"/>
      <c r="EJ5" s="239"/>
      <c r="EK5" s="239"/>
      <c r="EL5" s="239"/>
      <c r="EM5" s="239"/>
      <c r="EN5" s="239"/>
      <c r="EO5" s="239"/>
      <c r="EP5" s="239"/>
      <c r="EQ5" s="239"/>
      <c r="ER5" s="239"/>
      <c r="ES5" s="239"/>
      <c r="ET5" s="239"/>
      <c r="EU5" s="239"/>
      <c r="EV5" s="239"/>
      <c r="EW5" s="239"/>
      <c r="EX5" s="239"/>
      <c r="EY5" s="239"/>
      <c r="EZ5" s="239"/>
      <c r="FA5" s="239"/>
      <c r="FB5" s="239"/>
      <c r="FC5" s="239"/>
      <c r="FD5" s="239"/>
      <c r="FE5" s="239"/>
      <c r="FF5" s="239"/>
      <c r="FG5" s="239"/>
      <c r="FH5" s="239"/>
      <c r="FI5" s="239"/>
      <c r="FJ5" s="239"/>
      <c r="FK5" s="239"/>
      <c r="FL5" s="239"/>
      <c r="FM5" s="239"/>
      <c r="FN5" s="239"/>
      <c r="FO5" s="239"/>
      <c r="FP5" s="239"/>
      <c r="FQ5" s="239"/>
      <c r="FR5" s="239"/>
      <c r="FS5" s="239"/>
      <c r="FT5" s="239"/>
      <c r="FU5" s="239"/>
      <c r="FV5" s="239"/>
      <c r="FW5" s="239"/>
    </row>
    <row r="6" spans="1:179" s="236" customFormat="1" ht="19.5" customHeight="1">
      <c r="A6" s="251">
        <v>180</v>
      </c>
      <c r="B6" s="252">
        <v>2.0499999999999998</v>
      </c>
      <c r="C6" s="252">
        <v>4.0999999999999996</v>
      </c>
      <c r="D6" s="252">
        <v>6.2</v>
      </c>
      <c r="E6" s="252">
        <v>12.2</v>
      </c>
      <c r="F6" s="247">
        <v>15.6</v>
      </c>
      <c r="G6" s="252">
        <v>20</v>
      </c>
      <c r="H6" s="252">
        <v>25.5</v>
      </c>
      <c r="I6" s="252">
        <v>31</v>
      </c>
      <c r="J6" s="252">
        <v>40</v>
      </c>
      <c r="K6" s="252">
        <v>51</v>
      </c>
      <c r="L6" s="252">
        <v>64</v>
      </c>
      <c r="M6" s="252">
        <v>82</v>
      </c>
      <c r="N6" s="252">
        <v>104</v>
      </c>
      <c r="O6" s="252">
        <v>130</v>
      </c>
      <c r="P6" s="252">
        <v>160</v>
      </c>
      <c r="Q6" s="252">
        <v>205</v>
      </c>
      <c r="R6" s="252">
        <v>350</v>
      </c>
      <c r="S6" s="252">
        <v>540</v>
      </c>
      <c r="V6" s="253">
        <v>180</v>
      </c>
      <c r="W6" s="254">
        <v>1.37</v>
      </c>
      <c r="X6" s="254">
        <v>2.0699999999999998</v>
      </c>
      <c r="Y6" s="254">
        <v>2.2999999999999998</v>
      </c>
      <c r="Z6" s="254">
        <v>3.4</v>
      </c>
      <c r="AA6" s="254">
        <v>4.2</v>
      </c>
      <c r="AB6" s="254">
        <v>4.5</v>
      </c>
      <c r="AC6" s="254">
        <v>5.2</v>
      </c>
      <c r="AD6" s="254">
        <v>7</v>
      </c>
      <c r="AE6" s="254">
        <v>10.5</v>
      </c>
      <c r="AF6" s="254">
        <v>12</v>
      </c>
      <c r="AG6" s="254">
        <v>16.5</v>
      </c>
      <c r="AH6" s="254">
        <v>19.5</v>
      </c>
      <c r="AI6" s="254">
        <v>26</v>
      </c>
      <c r="AJ6" s="254">
        <v>32</v>
      </c>
      <c r="AK6" s="254">
        <v>47</v>
      </c>
      <c r="AL6" s="254">
        <v>74</v>
      </c>
      <c r="AN6" s="239"/>
      <c r="AO6" s="239"/>
      <c r="AP6" s="239"/>
      <c r="AQ6" s="239"/>
      <c r="AR6" s="239"/>
      <c r="AS6" s="239"/>
      <c r="AT6" s="239"/>
      <c r="AU6" s="239"/>
      <c r="AV6" s="239"/>
      <c r="AW6" s="239"/>
      <c r="AX6" s="239"/>
      <c r="AY6" s="239"/>
      <c r="AZ6" s="239"/>
      <c r="BA6" s="239"/>
      <c r="BB6" s="239"/>
      <c r="BC6" s="239"/>
      <c r="BD6" s="239"/>
      <c r="BE6" s="239"/>
      <c r="BF6" s="239"/>
      <c r="BG6" s="239"/>
      <c r="BH6" s="239"/>
      <c r="BI6" s="239"/>
      <c r="BJ6" s="239"/>
      <c r="BK6" s="239"/>
      <c r="BL6" s="239"/>
      <c r="BM6" s="239"/>
      <c r="BN6" s="239"/>
      <c r="BO6" s="239"/>
      <c r="BP6" s="239"/>
      <c r="BQ6" s="239"/>
      <c r="BR6" s="239"/>
      <c r="BS6" s="239"/>
      <c r="BT6" s="239"/>
      <c r="BU6" s="239"/>
      <c r="BV6" s="239"/>
      <c r="BW6" s="239"/>
      <c r="BX6" s="239"/>
      <c r="BY6" s="239"/>
      <c r="BZ6" s="239"/>
      <c r="CA6" s="239"/>
      <c r="CB6" s="239"/>
      <c r="CC6" s="239"/>
      <c r="CD6" s="239"/>
      <c r="CE6" s="239"/>
      <c r="CF6" s="239"/>
      <c r="CG6" s="239"/>
      <c r="CH6" s="239"/>
      <c r="CI6" s="239"/>
      <c r="CJ6" s="239"/>
      <c r="CK6" s="239"/>
      <c r="CL6" s="239"/>
      <c r="CM6" s="239"/>
      <c r="CN6" s="239"/>
      <c r="CO6" s="239"/>
      <c r="CP6" s="239"/>
      <c r="CQ6" s="239"/>
      <c r="CR6" s="239"/>
      <c r="CS6" s="239"/>
      <c r="CT6" s="239"/>
      <c r="CU6" s="239"/>
      <c r="CV6" s="239"/>
      <c r="CW6" s="239"/>
      <c r="CX6" s="239"/>
      <c r="CY6" s="239"/>
      <c r="CZ6" s="239"/>
      <c r="DA6" s="239"/>
      <c r="DB6" s="239"/>
      <c r="DC6" s="239"/>
      <c r="DD6" s="239"/>
      <c r="DE6" s="239"/>
      <c r="DF6" s="239"/>
      <c r="DG6" s="239"/>
      <c r="DH6" s="239"/>
      <c r="DI6" s="239"/>
      <c r="DJ6" s="239"/>
      <c r="DK6" s="239"/>
      <c r="DL6" s="239"/>
      <c r="DM6" s="239"/>
      <c r="DN6" s="239"/>
      <c r="DO6" s="239"/>
      <c r="DP6" s="239"/>
      <c r="DQ6" s="239"/>
      <c r="DR6" s="239"/>
      <c r="DS6" s="239"/>
      <c r="DT6" s="239"/>
      <c r="DU6" s="239"/>
      <c r="DV6" s="239"/>
      <c r="DW6" s="239"/>
      <c r="DX6" s="239"/>
      <c r="DY6" s="239"/>
      <c r="DZ6" s="239"/>
      <c r="EA6" s="239"/>
      <c r="EB6" s="239"/>
      <c r="EC6" s="239"/>
      <c r="ED6" s="239"/>
      <c r="EE6" s="239"/>
      <c r="EF6" s="239"/>
      <c r="EG6" s="239"/>
      <c r="EH6" s="239"/>
      <c r="EI6" s="239"/>
      <c r="EJ6" s="239"/>
      <c r="EK6" s="239"/>
      <c r="EL6" s="239"/>
      <c r="EM6" s="239"/>
      <c r="EN6" s="239"/>
      <c r="EO6" s="239"/>
      <c r="EP6" s="239"/>
      <c r="EQ6" s="239"/>
      <c r="ER6" s="239"/>
      <c r="ES6" s="239"/>
      <c r="ET6" s="239"/>
      <c r="EU6" s="239"/>
      <c r="EV6" s="239"/>
      <c r="EW6" s="239"/>
      <c r="EX6" s="239"/>
      <c r="EY6" s="239"/>
      <c r="EZ6" s="239"/>
      <c r="FA6" s="239"/>
      <c r="FB6" s="239"/>
      <c r="FC6" s="239"/>
      <c r="FD6" s="239"/>
      <c r="FE6" s="239"/>
      <c r="FF6" s="239"/>
      <c r="FG6" s="239"/>
      <c r="FH6" s="239"/>
      <c r="FI6" s="239"/>
      <c r="FJ6" s="239"/>
      <c r="FK6" s="239"/>
      <c r="FL6" s="239"/>
      <c r="FM6" s="239"/>
      <c r="FN6" s="239"/>
      <c r="FO6" s="239"/>
      <c r="FP6" s="239"/>
      <c r="FQ6" s="239"/>
      <c r="FR6" s="239"/>
      <c r="FS6" s="239"/>
      <c r="FT6" s="239"/>
      <c r="FU6" s="239"/>
      <c r="FV6" s="239"/>
      <c r="FW6" s="239"/>
    </row>
    <row r="7" spans="1:179" s="236" customFormat="1" ht="18">
      <c r="A7" s="251">
        <v>120</v>
      </c>
      <c r="B7" s="252">
        <v>2.1</v>
      </c>
      <c r="C7" s="252">
        <v>4.2</v>
      </c>
      <c r="D7" s="252">
        <v>6.3</v>
      </c>
      <c r="E7" s="252">
        <v>12.6</v>
      </c>
      <c r="F7" s="247">
        <v>16</v>
      </c>
      <c r="G7" s="252">
        <v>20.5</v>
      </c>
      <c r="H7" s="252">
        <v>26</v>
      </c>
      <c r="I7" s="252">
        <v>33</v>
      </c>
      <c r="J7" s="252">
        <v>42</v>
      </c>
      <c r="K7" s="252">
        <v>53</v>
      </c>
      <c r="L7" s="252">
        <v>66</v>
      </c>
      <c r="M7" s="252">
        <v>84</v>
      </c>
      <c r="N7" s="252">
        <v>110</v>
      </c>
      <c r="O7" s="252">
        <v>135</v>
      </c>
      <c r="P7" s="252">
        <v>170</v>
      </c>
      <c r="Q7" s="252">
        <v>215</v>
      </c>
      <c r="R7" s="252">
        <v>365</v>
      </c>
      <c r="S7" s="252">
        <v>560</v>
      </c>
      <c r="T7" s="248"/>
      <c r="U7" s="248"/>
      <c r="V7" s="253">
        <v>120</v>
      </c>
      <c r="W7" s="254">
        <v>1.5</v>
      </c>
      <c r="X7" s="254">
        <v>2.2000000000000002</v>
      </c>
      <c r="Y7" s="254">
        <v>2.5</v>
      </c>
      <c r="Z7" s="254">
        <v>3.6</v>
      </c>
      <c r="AA7" s="254">
        <v>4.5</v>
      </c>
      <c r="AB7" s="254">
        <v>5</v>
      </c>
      <c r="AC7" s="254">
        <v>5.8</v>
      </c>
      <c r="AD7" s="254">
        <v>7.6</v>
      </c>
      <c r="AE7" s="254">
        <v>11</v>
      </c>
      <c r="AF7" s="254">
        <v>13</v>
      </c>
      <c r="AG7" s="254">
        <v>18</v>
      </c>
      <c r="AH7" s="254">
        <v>21</v>
      </c>
      <c r="AI7" s="254">
        <v>28</v>
      </c>
      <c r="AJ7" s="254">
        <v>34</v>
      </c>
      <c r="AK7" s="254">
        <v>50</v>
      </c>
      <c r="AL7" s="254">
        <v>80</v>
      </c>
      <c r="AN7" s="239"/>
      <c r="AO7" s="239"/>
      <c r="AP7" s="239"/>
      <c r="AQ7" s="239"/>
      <c r="AR7" s="239"/>
      <c r="AS7" s="239"/>
      <c r="AT7" s="239"/>
      <c r="AU7" s="239"/>
      <c r="AV7" s="239"/>
      <c r="AW7" s="239"/>
      <c r="AX7" s="239"/>
      <c r="AY7" s="239"/>
      <c r="AZ7" s="239"/>
      <c r="BA7" s="239"/>
      <c r="BB7" s="239"/>
      <c r="BC7" s="239"/>
      <c r="BD7" s="239"/>
      <c r="BE7" s="239"/>
      <c r="BF7" s="239"/>
      <c r="BG7" s="239"/>
      <c r="BH7" s="239"/>
      <c r="BI7" s="239"/>
      <c r="BJ7" s="239"/>
      <c r="BK7" s="239"/>
      <c r="BL7" s="239"/>
      <c r="BM7" s="239"/>
      <c r="BN7" s="239"/>
      <c r="BO7" s="239"/>
      <c r="BP7" s="239"/>
      <c r="BQ7" s="239"/>
      <c r="BR7" s="239"/>
      <c r="BS7" s="239"/>
      <c r="BT7" s="239"/>
      <c r="BU7" s="239"/>
      <c r="BV7" s="239"/>
      <c r="BW7" s="239"/>
      <c r="BX7" s="239"/>
      <c r="BY7" s="239"/>
      <c r="BZ7" s="239"/>
      <c r="CA7" s="239"/>
      <c r="CB7" s="239"/>
      <c r="CC7" s="239"/>
      <c r="CD7" s="239"/>
      <c r="CE7" s="239"/>
      <c r="CF7" s="239"/>
      <c r="CG7" s="239"/>
      <c r="CH7" s="239"/>
      <c r="CI7" s="239"/>
      <c r="CJ7" s="239"/>
      <c r="CK7" s="239"/>
      <c r="CL7" s="239"/>
      <c r="CM7" s="239"/>
      <c r="CN7" s="239"/>
      <c r="CO7" s="239"/>
      <c r="CP7" s="239"/>
      <c r="CQ7" s="239"/>
      <c r="CR7" s="239"/>
      <c r="CS7" s="239"/>
      <c r="CT7" s="239"/>
      <c r="CU7" s="239"/>
      <c r="CV7" s="239"/>
      <c r="CW7" s="239"/>
      <c r="CX7" s="239"/>
      <c r="CY7" s="239"/>
      <c r="CZ7" s="239"/>
      <c r="DA7" s="239"/>
      <c r="DB7" s="239"/>
      <c r="DC7" s="239"/>
      <c r="DD7" s="239"/>
      <c r="DE7" s="239"/>
      <c r="DF7" s="239"/>
      <c r="DG7" s="239"/>
      <c r="DH7" s="239"/>
      <c r="DI7" s="239"/>
      <c r="DJ7" s="239"/>
      <c r="DK7" s="239"/>
      <c r="DL7" s="239"/>
      <c r="DM7" s="239"/>
      <c r="DN7" s="239"/>
      <c r="DO7" s="239"/>
      <c r="DP7" s="239"/>
      <c r="DQ7" s="239"/>
      <c r="DR7" s="239"/>
      <c r="DS7" s="239"/>
      <c r="DT7" s="239"/>
      <c r="DU7" s="239"/>
      <c r="DV7" s="239"/>
      <c r="DW7" s="239"/>
      <c r="DX7" s="239"/>
      <c r="DY7" s="239"/>
      <c r="DZ7" s="239"/>
      <c r="EA7" s="239"/>
      <c r="EB7" s="239"/>
      <c r="EC7" s="239"/>
      <c r="ED7" s="239"/>
      <c r="EE7" s="239"/>
      <c r="EF7" s="239"/>
      <c r="EG7" s="239"/>
      <c r="EH7" s="239"/>
      <c r="EI7" s="239"/>
      <c r="EJ7" s="239"/>
      <c r="EK7" s="239"/>
      <c r="EL7" s="239"/>
      <c r="EM7" s="239"/>
      <c r="EN7" s="239"/>
      <c r="EO7" s="239"/>
      <c r="EP7" s="239"/>
      <c r="EQ7" s="239"/>
      <c r="ER7" s="239"/>
      <c r="ES7" s="239"/>
      <c r="ET7" s="239"/>
      <c r="EU7" s="239"/>
      <c r="EV7" s="239"/>
      <c r="EW7" s="239"/>
      <c r="EX7" s="239"/>
      <c r="EY7" s="239"/>
      <c r="EZ7" s="239"/>
      <c r="FA7" s="239"/>
      <c r="FB7" s="239"/>
      <c r="FC7" s="239"/>
      <c r="FD7" s="239"/>
      <c r="FE7" s="239"/>
      <c r="FF7" s="239"/>
      <c r="FG7" s="239"/>
      <c r="FH7" s="239"/>
      <c r="FI7" s="239"/>
      <c r="FJ7" s="239"/>
      <c r="FK7" s="239"/>
      <c r="FL7" s="239"/>
      <c r="FM7" s="239"/>
      <c r="FN7" s="239"/>
      <c r="FO7" s="239"/>
      <c r="FP7" s="239"/>
      <c r="FQ7" s="239"/>
      <c r="FR7" s="239"/>
      <c r="FS7" s="239"/>
      <c r="FT7" s="239"/>
      <c r="FU7" s="239"/>
      <c r="FV7" s="239"/>
      <c r="FW7" s="239"/>
    </row>
    <row r="8" spans="1:179" s="236" customFormat="1" ht="18">
      <c r="A8" s="251">
        <v>60</v>
      </c>
      <c r="B8" s="252">
        <v>2.2000000000000002</v>
      </c>
      <c r="C8" s="252">
        <v>4.4000000000000004</v>
      </c>
      <c r="D8" s="252">
        <v>6.5</v>
      </c>
      <c r="E8" s="252">
        <v>13</v>
      </c>
      <c r="F8" s="247">
        <v>17</v>
      </c>
      <c r="G8" s="252">
        <v>21.5</v>
      </c>
      <c r="H8" s="252">
        <v>27.5</v>
      </c>
      <c r="I8" s="252">
        <v>35</v>
      </c>
      <c r="J8" s="252">
        <v>44</v>
      </c>
      <c r="K8" s="252">
        <v>56</v>
      </c>
      <c r="L8" s="252">
        <v>70</v>
      </c>
      <c r="M8" s="252">
        <v>90</v>
      </c>
      <c r="N8" s="252">
        <v>115</v>
      </c>
      <c r="O8" s="252">
        <v>140</v>
      </c>
      <c r="P8" s="252">
        <v>180</v>
      </c>
      <c r="Q8" s="252">
        <v>225</v>
      </c>
      <c r="R8" s="252">
        <v>400</v>
      </c>
      <c r="S8" s="252">
        <v>600</v>
      </c>
      <c r="T8" s="248"/>
      <c r="U8" s="248"/>
      <c r="V8" s="253">
        <v>60</v>
      </c>
      <c r="W8" s="254">
        <v>1.9</v>
      </c>
      <c r="X8" s="254">
        <v>2.8</v>
      </c>
      <c r="Y8" s="254">
        <v>3.2</v>
      </c>
      <c r="Z8" s="254">
        <v>4.5999999999999996</v>
      </c>
      <c r="AA8" s="254">
        <v>5.6</v>
      </c>
      <c r="AB8" s="254">
        <v>6</v>
      </c>
      <c r="AC8" s="254">
        <v>7.4</v>
      </c>
      <c r="AD8" s="254">
        <v>10</v>
      </c>
      <c r="AE8" s="254">
        <v>14</v>
      </c>
      <c r="AF8" s="254">
        <v>16</v>
      </c>
      <c r="AG8" s="254">
        <v>22</v>
      </c>
      <c r="AH8" s="254">
        <v>26</v>
      </c>
      <c r="AI8" s="254">
        <v>34</v>
      </c>
      <c r="AJ8" s="254">
        <v>44</v>
      </c>
      <c r="AK8" s="254">
        <v>60</v>
      </c>
      <c r="AL8" s="254">
        <v>95</v>
      </c>
      <c r="AN8" s="239"/>
      <c r="AO8" s="239"/>
      <c r="AP8" s="239"/>
      <c r="AQ8" s="239"/>
      <c r="AR8" s="239"/>
      <c r="AS8" s="239"/>
      <c r="AT8" s="239"/>
      <c r="AU8" s="239"/>
      <c r="AV8" s="239"/>
      <c r="AW8" s="239"/>
      <c r="AX8" s="239"/>
      <c r="AY8" s="239"/>
      <c r="AZ8" s="239"/>
      <c r="BA8" s="239"/>
      <c r="BB8" s="239"/>
      <c r="BC8" s="239"/>
      <c r="BD8" s="239"/>
      <c r="BE8" s="239"/>
      <c r="BF8" s="239"/>
      <c r="BG8" s="239"/>
      <c r="BH8" s="239"/>
      <c r="BI8" s="239"/>
      <c r="BJ8" s="239"/>
      <c r="BK8" s="239"/>
      <c r="BL8" s="239"/>
      <c r="BM8" s="239"/>
      <c r="BN8" s="239"/>
      <c r="BO8" s="239"/>
      <c r="BP8" s="239"/>
      <c r="BQ8" s="239"/>
      <c r="BR8" s="239"/>
      <c r="BS8" s="239"/>
      <c r="BT8" s="239"/>
      <c r="BU8" s="239"/>
      <c r="BV8" s="239"/>
      <c r="BW8" s="239"/>
      <c r="BX8" s="239"/>
      <c r="BY8" s="239"/>
      <c r="BZ8" s="239"/>
      <c r="CA8" s="239"/>
      <c r="CB8" s="239"/>
      <c r="CC8" s="239"/>
      <c r="CD8" s="239"/>
      <c r="CE8" s="239"/>
      <c r="CF8" s="239"/>
      <c r="CG8" s="239"/>
      <c r="CH8" s="239"/>
      <c r="CI8" s="239"/>
      <c r="CJ8" s="239"/>
      <c r="CK8" s="239"/>
      <c r="CL8" s="239"/>
      <c r="CM8" s="239"/>
      <c r="CN8" s="239"/>
      <c r="CO8" s="239"/>
      <c r="CP8" s="239"/>
      <c r="CQ8" s="239"/>
      <c r="CR8" s="239"/>
      <c r="CS8" s="239"/>
      <c r="CT8" s="239"/>
      <c r="CU8" s="239"/>
      <c r="CV8" s="239"/>
      <c r="CW8" s="239"/>
      <c r="CX8" s="239"/>
      <c r="CY8" s="239"/>
      <c r="CZ8" s="239"/>
      <c r="DA8" s="239"/>
      <c r="DB8" s="239"/>
      <c r="DC8" s="239"/>
      <c r="DD8" s="239"/>
      <c r="DE8" s="239"/>
      <c r="DF8" s="239"/>
      <c r="DG8" s="239"/>
      <c r="DH8" s="239"/>
      <c r="DI8" s="239"/>
      <c r="DJ8" s="239"/>
      <c r="DK8" s="239"/>
      <c r="DL8" s="239"/>
      <c r="DM8" s="239"/>
      <c r="DN8" s="239"/>
      <c r="DO8" s="239"/>
      <c r="DP8" s="239"/>
      <c r="DQ8" s="239"/>
      <c r="DR8" s="239"/>
      <c r="DS8" s="239"/>
      <c r="DT8" s="239"/>
      <c r="DU8" s="239"/>
      <c r="DV8" s="239"/>
      <c r="DW8" s="239"/>
      <c r="DX8" s="239"/>
      <c r="DY8" s="239"/>
      <c r="DZ8" s="239"/>
      <c r="EA8" s="239"/>
      <c r="EB8" s="239"/>
      <c r="EC8" s="239"/>
      <c r="ED8" s="239"/>
      <c r="EE8" s="239"/>
      <c r="EF8" s="239"/>
      <c r="EG8" s="239"/>
      <c r="EH8" s="239"/>
      <c r="EI8" s="239"/>
      <c r="EJ8" s="239"/>
      <c r="EK8" s="239"/>
      <c r="EL8" s="239"/>
      <c r="EM8" s="239"/>
      <c r="EN8" s="239"/>
      <c r="EO8" s="239"/>
      <c r="EP8" s="239"/>
      <c r="EQ8" s="239"/>
      <c r="ER8" s="239"/>
      <c r="ES8" s="239"/>
      <c r="ET8" s="239"/>
      <c r="EU8" s="239"/>
      <c r="EV8" s="239"/>
      <c r="EW8" s="239"/>
      <c r="EX8" s="239"/>
      <c r="EY8" s="239"/>
      <c r="EZ8" s="239"/>
      <c r="FA8" s="239"/>
      <c r="FB8" s="239"/>
      <c r="FC8" s="239"/>
      <c r="FD8" s="239"/>
      <c r="FE8" s="239"/>
      <c r="FF8" s="239"/>
      <c r="FG8" s="239"/>
      <c r="FH8" s="239"/>
      <c r="FI8" s="239"/>
      <c r="FJ8" s="239"/>
      <c r="FK8" s="239"/>
      <c r="FL8" s="239"/>
      <c r="FM8" s="239"/>
      <c r="FN8" s="239"/>
      <c r="FO8" s="239"/>
      <c r="FP8" s="239"/>
      <c r="FQ8" s="239"/>
      <c r="FR8" s="239"/>
      <c r="FS8" s="239"/>
      <c r="FT8" s="239"/>
      <c r="FU8" s="239"/>
      <c r="FV8" s="239"/>
      <c r="FW8" s="239"/>
    </row>
    <row r="9" spans="1:179" s="236" customFormat="1" ht="18">
      <c r="A9" s="251">
        <v>30</v>
      </c>
      <c r="B9" s="252">
        <v>2.2999999999999998</v>
      </c>
      <c r="C9" s="252">
        <v>4.5</v>
      </c>
      <c r="D9" s="252">
        <v>6.8</v>
      </c>
      <c r="E9" s="252">
        <v>14</v>
      </c>
      <c r="F9" s="247">
        <v>18</v>
      </c>
      <c r="G9" s="252">
        <v>23.7</v>
      </c>
      <c r="H9" s="252">
        <v>29</v>
      </c>
      <c r="I9" s="252">
        <v>36</v>
      </c>
      <c r="J9" s="252">
        <v>46</v>
      </c>
      <c r="K9" s="252">
        <v>60</v>
      </c>
      <c r="L9" s="252">
        <v>75</v>
      </c>
      <c r="M9" s="252">
        <v>94</v>
      </c>
      <c r="N9" s="252">
        <v>120</v>
      </c>
      <c r="O9" s="252">
        <v>155</v>
      </c>
      <c r="P9" s="252">
        <v>190</v>
      </c>
      <c r="Q9" s="252">
        <v>240</v>
      </c>
      <c r="R9" s="252">
        <v>440</v>
      </c>
      <c r="S9" s="252">
        <v>650</v>
      </c>
      <c r="T9" s="248"/>
      <c r="U9" s="248"/>
      <c r="V9" s="253">
        <v>30</v>
      </c>
      <c r="W9" s="254">
        <v>2.7</v>
      </c>
      <c r="X9" s="254">
        <v>4</v>
      </c>
      <c r="Y9" s="254">
        <v>4.5</v>
      </c>
      <c r="Z9" s="254">
        <v>6.5</v>
      </c>
      <c r="AA9" s="254">
        <v>8</v>
      </c>
      <c r="AB9" s="254">
        <v>8.5</v>
      </c>
      <c r="AC9" s="254">
        <v>10.4</v>
      </c>
      <c r="AD9" s="254">
        <v>14</v>
      </c>
      <c r="AE9" s="254">
        <v>20</v>
      </c>
      <c r="AF9" s="254">
        <v>21</v>
      </c>
      <c r="AG9" s="254">
        <v>30</v>
      </c>
      <c r="AH9" s="254">
        <v>35</v>
      </c>
      <c r="AI9" s="254">
        <v>46</v>
      </c>
      <c r="AJ9" s="254">
        <v>58</v>
      </c>
      <c r="AK9" s="254">
        <v>80</v>
      </c>
      <c r="AL9" s="254">
        <v>120</v>
      </c>
      <c r="AN9" s="239"/>
      <c r="AO9" s="239"/>
      <c r="AP9" s="239"/>
      <c r="AQ9" s="239"/>
      <c r="AR9" s="239"/>
      <c r="AS9" s="239"/>
      <c r="AT9" s="239"/>
      <c r="AU9" s="239"/>
      <c r="AV9" s="239"/>
      <c r="AW9" s="239"/>
      <c r="AX9" s="239"/>
      <c r="AY9" s="239"/>
      <c r="AZ9" s="239"/>
      <c r="BA9" s="239"/>
      <c r="BB9" s="239"/>
      <c r="BC9" s="239"/>
      <c r="BD9" s="239"/>
      <c r="BE9" s="239"/>
      <c r="BF9" s="239"/>
      <c r="BG9" s="239"/>
      <c r="BH9" s="239"/>
      <c r="BI9" s="239"/>
      <c r="BJ9" s="239"/>
      <c r="BK9" s="239"/>
      <c r="BL9" s="239"/>
      <c r="BM9" s="239"/>
      <c r="BN9" s="239"/>
      <c r="BO9" s="239"/>
      <c r="BP9" s="239"/>
      <c r="BQ9" s="239"/>
      <c r="BR9" s="239"/>
      <c r="BS9" s="239"/>
      <c r="BT9" s="239"/>
      <c r="BU9" s="239"/>
      <c r="BV9" s="239"/>
      <c r="BW9" s="239"/>
      <c r="BX9" s="239"/>
      <c r="BY9" s="239"/>
      <c r="BZ9" s="239"/>
      <c r="CA9" s="239"/>
      <c r="CB9" s="239"/>
      <c r="CC9" s="239"/>
      <c r="CD9" s="239"/>
      <c r="CE9" s="239"/>
      <c r="CF9" s="239"/>
      <c r="CG9" s="239"/>
      <c r="CH9" s="239"/>
      <c r="CI9" s="239"/>
      <c r="CJ9" s="239"/>
      <c r="CK9" s="239"/>
      <c r="CL9" s="239"/>
      <c r="CM9" s="239"/>
      <c r="CN9" s="239"/>
      <c r="CO9" s="239"/>
      <c r="CP9" s="239"/>
      <c r="CQ9" s="239"/>
      <c r="CR9" s="239"/>
      <c r="CS9" s="239"/>
      <c r="CT9" s="239"/>
      <c r="CU9" s="239"/>
      <c r="CV9" s="239"/>
      <c r="CW9" s="239"/>
      <c r="CX9" s="239"/>
      <c r="CY9" s="239"/>
      <c r="CZ9" s="239"/>
      <c r="DA9" s="239"/>
      <c r="DB9" s="239"/>
      <c r="DC9" s="239"/>
      <c r="DD9" s="239"/>
      <c r="DE9" s="239"/>
      <c r="DF9" s="239"/>
      <c r="DG9" s="239"/>
      <c r="DH9" s="239"/>
      <c r="DI9" s="239"/>
      <c r="DJ9" s="239"/>
      <c r="DK9" s="239"/>
      <c r="DL9" s="239"/>
      <c r="DM9" s="239"/>
      <c r="DN9" s="239"/>
      <c r="DO9" s="239"/>
      <c r="DP9" s="239"/>
      <c r="DQ9" s="239"/>
      <c r="DR9" s="239"/>
      <c r="DS9" s="239"/>
      <c r="DT9" s="239"/>
      <c r="DU9" s="239"/>
      <c r="DV9" s="239"/>
      <c r="DW9" s="239"/>
      <c r="DX9" s="239"/>
      <c r="DY9" s="239"/>
      <c r="DZ9" s="239"/>
      <c r="EA9" s="239"/>
      <c r="EB9" s="239"/>
      <c r="EC9" s="239"/>
      <c r="ED9" s="239"/>
      <c r="EE9" s="239"/>
      <c r="EF9" s="239"/>
      <c r="EG9" s="239"/>
      <c r="EH9" s="239"/>
      <c r="EI9" s="239"/>
      <c r="EJ9" s="239"/>
      <c r="EK9" s="239"/>
      <c r="EL9" s="239"/>
      <c r="EM9" s="239"/>
      <c r="EN9" s="239"/>
      <c r="EO9" s="239"/>
      <c r="EP9" s="239"/>
      <c r="EQ9" s="239"/>
      <c r="ER9" s="239"/>
      <c r="ES9" s="239"/>
      <c r="ET9" s="239"/>
      <c r="EU9" s="239"/>
      <c r="EV9" s="239"/>
      <c r="EW9" s="239"/>
      <c r="EX9" s="239"/>
      <c r="EY9" s="239"/>
      <c r="EZ9" s="239"/>
      <c r="FA9" s="239"/>
      <c r="FB9" s="239"/>
      <c r="FC9" s="239"/>
      <c r="FD9" s="239"/>
      <c r="FE9" s="239"/>
      <c r="FF9" s="239"/>
      <c r="FG9" s="239"/>
      <c r="FH9" s="239"/>
      <c r="FI9" s="239"/>
      <c r="FJ9" s="239"/>
      <c r="FK9" s="239"/>
      <c r="FL9" s="239"/>
      <c r="FM9" s="239"/>
      <c r="FN9" s="239"/>
      <c r="FO9" s="239"/>
      <c r="FP9" s="239"/>
      <c r="FQ9" s="239"/>
      <c r="FR9" s="239"/>
      <c r="FS9" s="239"/>
      <c r="FT9" s="239"/>
      <c r="FU9" s="239"/>
      <c r="FV9" s="239"/>
      <c r="FW9" s="239"/>
    </row>
    <row r="10" spans="1:179" s="236" customFormat="1" ht="18">
      <c r="A10" s="251">
        <v>10</v>
      </c>
      <c r="B10" s="252">
        <v>2.4</v>
      </c>
      <c r="C10" s="252">
        <v>4.8</v>
      </c>
      <c r="D10" s="252">
        <v>7.2</v>
      </c>
      <c r="E10" s="252">
        <v>15.3</v>
      </c>
      <c r="F10" s="247">
        <v>21</v>
      </c>
      <c r="G10" s="252">
        <v>26.5</v>
      </c>
      <c r="H10" s="252">
        <v>34</v>
      </c>
      <c r="I10" s="252">
        <v>44.5</v>
      </c>
      <c r="J10" s="252">
        <v>57</v>
      </c>
      <c r="K10" s="252">
        <v>73.5</v>
      </c>
      <c r="L10" s="252">
        <v>93</v>
      </c>
      <c r="M10" s="252">
        <v>120</v>
      </c>
      <c r="N10" s="252">
        <v>152</v>
      </c>
      <c r="O10" s="252">
        <v>195</v>
      </c>
      <c r="P10" s="252">
        <v>248</v>
      </c>
      <c r="Q10" s="252">
        <v>319</v>
      </c>
      <c r="R10" s="252">
        <v>520</v>
      </c>
      <c r="S10" s="252">
        <v>850</v>
      </c>
      <c r="T10" s="248"/>
      <c r="U10" s="248"/>
      <c r="V10" s="253">
        <v>10</v>
      </c>
      <c r="W10" s="254">
        <v>5.8</v>
      </c>
      <c r="X10" s="254">
        <v>8.5</v>
      </c>
      <c r="Y10" s="254">
        <v>9.4</v>
      </c>
      <c r="Z10" s="254">
        <v>13.5</v>
      </c>
      <c r="AA10" s="254">
        <v>16</v>
      </c>
      <c r="AB10" s="254">
        <v>17</v>
      </c>
      <c r="AC10" s="254">
        <v>21</v>
      </c>
      <c r="AD10" s="254">
        <v>29</v>
      </c>
      <c r="AE10" s="254">
        <v>38</v>
      </c>
      <c r="AF10" s="254">
        <v>41</v>
      </c>
      <c r="AG10" s="254">
        <v>57</v>
      </c>
      <c r="AH10" s="254">
        <v>64</v>
      </c>
      <c r="AI10" s="254">
        <v>82</v>
      </c>
      <c r="AJ10" s="254">
        <v>98</v>
      </c>
      <c r="AK10" s="254">
        <v>132</v>
      </c>
      <c r="AL10" s="254">
        <v>185</v>
      </c>
      <c r="AN10" s="239"/>
      <c r="AO10" s="239"/>
      <c r="AP10" s="239"/>
      <c r="AQ10" s="239"/>
      <c r="AR10" s="239"/>
      <c r="AS10" s="239"/>
      <c r="AT10" s="239"/>
      <c r="AU10" s="239"/>
      <c r="AV10" s="239"/>
      <c r="AW10" s="239"/>
      <c r="AX10" s="239"/>
      <c r="AY10" s="239"/>
      <c r="AZ10" s="239"/>
      <c r="BA10" s="239"/>
      <c r="BB10" s="239"/>
      <c r="BC10" s="239"/>
      <c r="BD10" s="239"/>
      <c r="BE10" s="239"/>
      <c r="BF10" s="239"/>
      <c r="BG10" s="239"/>
      <c r="BH10" s="239"/>
      <c r="BI10" s="239"/>
      <c r="BJ10" s="239"/>
      <c r="BK10" s="239"/>
      <c r="BL10" s="239"/>
      <c r="BM10" s="239"/>
      <c r="BN10" s="239"/>
      <c r="BO10" s="239"/>
      <c r="BP10" s="239"/>
      <c r="BQ10" s="239"/>
      <c r="BR10" s="239"/>
      <c r="BS10" s="239"/>
      <c r="BT10" s="239"/>
      <c r="BU10" s="239"/>
      <c r="BV10" s="239"/>
      <c r="BW10" s="239"/>
      <c r="BX10" s="239"/>
      <c r="BY10" s="239"/>
      <c r="BZ10" s="239"/>
      <c r="CA10" s="239"/>
      <c r="CB10" s="239"/>
      <c r="CC10" s="239"/>
      <c r="CD10" s="239"/>
      <c r="CE10" s="239"/>
      <c r="CF10" s="239"/>
      <c r="CG10" s="239"/>
      <c r="CH10" s="239"/>
      <c r="CI10" s="239"/>
      <c r="CJ10" s="239"/>
      <c r="CK10" s="239"/>
      <c r="CL10" s="239"/>
      <c r="CM10" s="239"/>
      <c r="CN10" s="239"/>
      <c r="CO10" s="239"/>
      <c r="CP10" s="239"/>
      <c r="CQ10" s="239"/>
      <c r="CR10" s="239"/>
      <c r="CS10" s="239"/>
      <c r="CT10" s="239"/>
      <c r="CU10" s="239"/>
      <c r="CV10" s="239"/>
      <c r="CW10" s="239"/>
      <c r="CX10" s="239"/>
      <c r="CY10" s="239"/>
      <c r="CZ10" s="239"/>
      <c r="DA10" s="239"/>
      <c r="DB10" s="239"/>
      <c r="DC10" s="239"/>
      <c r="DD10" s="239"/>
      <c r="DE10" s="239"/>
      <c r="DF10" s="239"/>
      <c r="DG10" s="239"/>
      <c r="DH10" s="239"/>
      <c r="DI10" s="239"/>
      <c r="DJ10" s="239"/>
      <c r="DK10" s="239"/>
      <c r="DL10" s="239"/>
      <c r="DM10" s="239"/>
      <c r="DN10" s="239"/>
      <c r="DO10" s="239"/>
      <c r="DP10" s="239"/>
      <c r="DQ10" s="239"/>
      <c r="DR10" s="239"/>
      <c r="DS10" s="239"/>
      <c r="DT10" s="239"/>
      <c r="DU10" s="239"/>
      <c r="DV10" s="239"/>
      <c r="DW10" s="239"/>
      <c r="DX10" s="239"/>
      <c r="DY10" s="239"/>
      <c r="DZ10" s="239"/>
      <c r="EA10" s="239"/>
      <c r="EB10" s="239"/>
      <c r="EC10" s="239"/>
      <c r="ED10" s="239"/>
      <c r="EE10" s="239"/>
      <c r="EF10" s="239"/>
      <c r="EG10" s="239"/>
      <c r="EH10" s="239"/>
      <c r="EI10" s="239"/>
      <c r="EJ10" s="239"/>
      <c r="EK10" s="239"/>
      <c r="EL10" s="239"/>
      <c r="EM10" s="239"/>
      <c r="EN10" s="239"/>
      <c r="EO10" s="239"/>
      <c r="EP10" s="239"/>
      <c r="EQ10" s="239"/>
      <c r="ER10" s="239"/>
      <c r="ES10" s="239"/>
      <c r="ET10" s="239"/>
      <c r="EU10" s="239"/>
      <c r="EV10" s="239"/>
      <c r="EW10" s="239"/>
      <c r="EX10" s="239"/>
      <c r="EY10" s="239"/>
      <c r="EZ10" s="239"/>
      <c r="FA10" s="239"/>
      <c r="FB10" s="239"/>
      <c r="FC10" s="239"/>
      <c r="FD10" s="239"/>
      <c r="FE10" s="239"/>
      <c r="FF10" s="239"/>
      <c r="FG10" s="239"/>
      <c r="FH10" s="239"/>
      <c r="FI10" s="239"/>
      <c r="FJ10" s="239"/>
      <c r="FK10" s="239"/>
      <c r="FL10" s="239"/>
      <c r="FM10" s="239"/>
      <c r="FN10" s="239"/>
      <c r="FO10" s="239"/>
      <c r="FP10" s="239"/>
      <c r="FQ10" s="239"/>
      <c r="FR10" s="239"/>
      <c r="FS10" s="239"/>
      <c r="FT10" s="239"/>
      <c r="FU10" s="239"/>
      <c r="FV10" s="239"/>
      <c r="FW10" s="239"/>
    </row>
    <row r="11" spans="1:179" s="236" customFormat="1" ht="18">
      <c r="A11" s="251">
        <v>4</v>
      </c>
      <c r="B11" s="255">
        <v>2.8</v>
      </c>
      <c r="C11" s="255">
        <v>5.6</v>
      </c>
      <c r="D11" s="255">
        <v>8</v>
      </c>
      <c r="E11" s="255">
        <v>21</v>
      </c>
      <c r="F11" s="255">
        <v>28</v>
      </c>
      <c r="G11" s="255">
        <v>36</v>
      </c>
      <c r="H11" s="255">
        <v>46</v>
      </c>
      <c r="I11" s="255">
        <v>59</v>
      </c>
      <c r="J11" s="255">
        <v>75</v>
      </c>
      <c r="K11" s="255">
        <v>98</v>
      </c>
      <c r="L11" s="255">
        <v>121</v>
      </c>
      <c r="M11" s="255">
        <v>154</v>
      </c>
      <c r="N11" s="255">
        <v>200</v>
      </c>
      <c r="O11" s="255">
        <v>260</v>
      </c>
      <c r="P11" s="255">
        <v>330</v>
      </c>
      <c r="Q11" s="255">
        <v>420</v>
      </c>
      <c r="R11" s="255">
        <v>700</v>
      </c>
      <c r="S11" s="255">
        <v>1160</v>
      </c>
      <c r="T11" s="248"/>
      <c r="U11" s="248"/>
      <c r="V11" s="253">
        <v>4</v>
      </c>
      <c r="W11" s="254">
        <v>8.6999999999999993</v>
      </c>
      <c r="X11" s="254">
        <v>13.7</v>
      </c>
      <c r="Y11" s="254">
        <v>15</v>
      </c>
      <c r="Z11" s="254">
        <v>20.8</v>
      </c>
      <c r="AA11" s="254">
        <v>24</v>
      </c>
      <c r="AB11" s="254">
        <v>25</v>
      </c>
      <c r="AC11" s="254">
        <v>32</v>
      </c>
      <c r="AD11" s="254">
        <v>43</v>
      </c>
      <c r="AE11" s="254">
        <v>54</v>
      </c>
      <c r="AF11" s="254">
        <v>57</v>
      </c>
      <c r="AG11" s="254">
        <v>80</v>
      </c>
      <c r="AH11" s="254">
        <v>98</v>
      </c>
      <c r="AI11" s="254">
        <v>122</v>
      </c>
      <c r="AJ11" s="254">
        <v>150</v>
      </c>
      <c r="AK11" s="254">
        <v>180</v>
      </c>
      <c r="AL11" s="254">
        <v>250</v>
      </c>
      <c r="AN11" s="239"/>
      <c r="AO11" s="239"/>
      <c r="AP11" s="239"/>
      <c r="AQ11" s="239"/>
      <c r="AR11" s="239"/>
      <c r="AS11" s="239"/>
      <c r="AT11" s="239"/>
      <c r="AU11" s="239"/>
      <c r="AV11" s="239"/>
      <c r="AW11" s="239"/>
      <c r="AX11" s="239"/>
      <c r="AY11" s="239"/>
      <c r="AZ11" s="239"/>
      <c r="BA11" s="239"/>
      <c r="BB11" s="239"/>
      <c r="BC11" s="239"/>
      <c r="BD11" s="239"/>
      <c r="BE11" s="239"/>
      <c r="BF11" s="239"/>
      <c r="BG11" s="239"/>
      <c r="BH11" s="239"/>
      <c r="BI11" s="239"/>
      <c r="BJ11" s="239"/>
      <c r="BK11" s="239"/>
      <c r="BL11" s="239"/>
      <c r="BM11" s="239"/>
      <c r="BN11" s="239"/>
      <c r="BO11" s="239"/>
      <c r="BP11" s="239"/>
      <c r="BQ11" s="239"/>
      <c r="BR11" s="239"/>
      <c r="BS11" s="239"/>
      <c r="BT11" s="239"/>
      <c r="BU11" s="239"/>
      <c r="BV11" s="239"/>
      <c r="BW11" s="239"/>
      <c r="BX11" s="239"/>
      <c r="BY11" s="239"/>
      <c r="BZ11" s="239"/>
      <c r="CA11" s="239"/>
      <c r="CB11" s="239"/>
      <c r="CC11" s="239"/>
      <c r="CD11" s="239"/>
      <c r="CE11" s="239"/>
      <c r="CF11" s="239"/>
      <c r="CG11" s="239"/>
      <c r="CH11" s="239"/>
      <c r="CI11" s="239"/>
      <c r="CJ11" s="239"/>
      <c r="CK11" s="239"/>
      <c r="CL11" s="239"/>
      <c r="CM11" s="239"/>
      <c r="CN11" s="239"/>
      <c r="CO11" s="239"/>
      <c r="CP11" s="239"/>
      <c r="CQ11" s="239"/>
      <c r="CR11" s="239"/>
      <c r="CS11" s="239"/>
      <c r="CT11" s="239"/>
      <c r="CU11" s="239"/>
      <c r="CV11" s="239"/>
      <c r="CW11" s="239"/>
      <c r="CX11" s="239"/>
      <c r="CY11" s="239"/>
      <c r="CZ11" s="239"/>
      <c r="DA11" s="239"/>
      <c r="DB11" s="239"/>
      <c r="DC11" s="239"/>
      <c r="DD11" s="239"/>
      <c r="DE11" s="239"/>
      <c r="DF11" s="239"/>
      <c r="DG11" s="239"/>
      <c r="DH11" s="239"/>
      <c r="DI11" s="239"/>
      <c r="DJ11" s="239"/>
      <c r="DK11" s="239"/>
      <c r="DL11" s="239"/>
      <c r="DM11" s="239"/>
      <c r="DN11" s="239"/>
      <c r="DO11" s="239"/>
      <c r="DP11" s="239"/>
      <c r="DQ11" s="239"/>
      <c r="DR11" s="239"/>
      <c r="DS11" s="239"/>
      <c r="DT11" s="239"/>
      <c r="DU11" s="239"/>
      <c r="DV11" s="239"/>
      <c r="DW11" s="239"/>
      <c r="DX11" s="239"/>
      <c r="DY11" s="239"/>
      <c r="DZ11" s="239"/>
      <c r="EA11" s="239"/>
      <c r="EB11" s="239"/>
      <c r="EC11" s="239"/>
      <c r="ED11" s="239"/>
      <c r="EE11" s="239"/>
      <c r="EF11" s="239"/>
      <c r="EG11" s="239"/>
      <c r="EH11" s="239"/>
      <c r="EI11" s="239"/>
      <c r="EJ11" s="239"/>
      <c r="EK11" s="239"/>
      <c r="EL11" s="239"/>
      <c r="EM11" s="239"/>
      <c r="EN11" s="239"/>
      <c r="EO11" s="239"/>
      <c r="EP11" s="239"/>
      <c r="EQ11" s="239"/>
      <c r="ER11" s="239"/>
      <c r="ES11" s="239"/>
      <c r="ET11" s="239"/>
      <c r="EU11" s="239"/>
      <c r="EV11" s="239"/>
      <c r="EW11" s="239"/>
      <c r="EX11" s="239"/>
      <c r="EY11" s="239"/>
      <c r="EZ11" s="239"/>
      <c r="FA11" s="239"/>
      <c r="FB11" s="239"/>
      <c r="FC11" s="239"/>
      <c r="FD11" s="239"/>
      <c r="FE11" s="239"/>
      <c r="FF11" s="239"/>
      <c r="FG11" s="239"/>
      <c r="FH11" s="239"/>
      <c r="FI11" s="239"/>
      <c r="FJ11" s="239"/>
      <c r="FK11" s="239"/>
      <c r="FL11" s="239"/>
      <c r="FM11" s="239"/>
      <c r="FN11" s="239"/>
      <c r="FO11" s="239"/>
      <c r="FP11" s="239"/>
      <c r="FQ11" s="239"/>
      <c r="FR11" s="239"/>
      <c r="FS11" s="239"/>
      <c r="FT11" s="239"/>
      <c r="FU11" s="239"/>
      <c r="FV11" s="239"/>
      <c r="FW11" s="239"/>
    </row>
    <row r="12" spans="1:179" s="236" customFormat="1" ht="18">
      <c r="A12" s="251">
        <v>2</v>
      </c>
      <c r="B12" s="252">
        <v>3.1</v>
      </c>
      <c r="C12" s="252">
        <v>6.5</v>
      </c>
      <c r="D12" s="252">
        <v>9.6999999999999993</v>
      </c>
      <c r="E12" s="252">
        <v>28</v>
      </c>
      <c r="F12" s="247">
        <v>38</v>
      </c>
      <c r="G12" s="252">
        <v>50</v>
      </c>
      <c r="H12" s="252">
        <v>63</v>
      </c>
      <c r="I12" s="252">
        <v>82</v>
      </c>
      <c r="J12" s="252">
        <v>105</v>
      </c>
      <c r="K12" s="252">
        <v>137</v>
      </c>
      <c r="L12" s="252">
        <v>170</v>
      </c>
      <c r="M12" s="252">
        <v>215</v>
      </c>
      <c r="N12" s="252">
        <v>275</v>
      </c>
      <c r="O12" s="252">
        <v>360</v>
      </c>
      <c r="P12" s="252">
        <v>460</v>
      </c>
      <c r="Q12" s="252">
        <v>580</v>
      </c>
      <c r="R12" s="252">
        <v>940</v>
      </c>
      <c r="S12" s="252">
        <v>1550</v>
      </c>
      <c r="T12" s="248"/>
      <c r="U12" s="248"/>
      <c r="V12" s="253">
        <v>2</v>
      </c>
      <c r="W12" s="254">
        <v>9.8000000000000007</v>
      </c>
      <c r="X12" s="254">
        <v>15</v>
      </c>
      <c r="Y12" s="254">
        <v>17</v>
      </c>
      <c r="Z12" s="254">
        <v>22</v>
      </c>
      <c r="AA12" s="254">
        <v>25</v>
      </c>
      <c r="AB12" s="254">
        <v>26</v>
      </c>
      <c r="AC12" s="254">
        <v>34</v>
      </c>
      <c r="AD12" s="254">
        <v>45</v>
      </c>
      <c r="AE12" s="254">
        <v>58</v>
      </c>
      <c r="AF12" s="254">
        <v>62</v>
      </c>
      <c r="AG12" s="254">
        <v>90</v>
      </c>
      <c r="AH12" s="254">
        <v>116</v>
      </c>
      <c r="AI12" s="254">
        <v>150</v>
      </c>
      <c r="AJ12" s="254">
        <v>180</v>
      </c>
      <c r="AK12" s="254">
        <v>210</v>
      </c>
      <c r="AL12" s="254">
        <v>300</v>
      </c>
      <c r="AN12" s="239"/>
      <c r="AO12" s="239"/>
      <c r="AP12" s="239"/>
      <c r="AQ12" s="239"/>
      <c r="AR12" s="239"/>
      <c r="AS12" s="239"/>
      <c r="AT12" s="239"/>
      <c r="AU12" s="239"/>
      <c r="AV12" s="239"/>
      <c r="AW12" s="239"/>
      <c r="AX12" s="239"/>
      <c r="AY12" s="239"/>
      <c r="AZ12" s="239"/>
      <c r="BA12" s="239"/>
      <c r="BB12" s="239"/>
      <c r="BC12" s="239"/>
      <c r="BD12" s="239"/>
      <c r="BE12" s="239"/>
      <c r="BF12" s="239"/>
      <c r="BG12" s="239"/>
      <c r="BH12" s="239"/>
      <c r="BI12" s="239"/>
      <c r="BJ12" s="239"/>
      <c r="BK12" s="239"/>
      <c r="BL12" s="239"/>
      <c r="BM12" s="239"/>
      <c r="BN12" s="239"/>
      <c r="BO12" s="239"/>
      <c r="BP12" s="239"/>
      <c r="BQ12" s="239"/>
      <c r="BR12" s="239"/>
      <c r="BS12" s="239"/>
      <c r="BT12" s="239"/>
      <c r="BU12" s="239"/>
      <c r="BV12" s="239"/>
      <c r="BW12" s="239"/>
      <c r="BX12" s="239"/>
      <c r="BY12" s="239"/>
      <c r="BZ12" s="239"/>
      <c r="CA12" s="239"/>
      <c r="CB12" s="239"/>
      <c r="CC12" s="239"/>
      <c r="CD12" s="239"/>
      <c r="CE12" s="239"/>
      <c r="CF12" s="239"/>
      <c r="CG12" s="239"/>
      <c r="CH12" s="239"/>
      <c r="CI12" s="239"/>
      <c r="CJ12" s="239"/>
      <c r="CK12" s="239"/>
      <c r="CL12" s="239"/>
      <c r="CM12" s="239"/>
      <c r="CN12" s="239"/>
      <c r="CO12" s="239"/>
      <c r="CP12" s="239"/>
      <c r="CQ12" s="239"/>
      <c r="CR12" s="239"/>
      <c r="CS12" s="239"/>
      <c r="CT12" s="239"/>
      <c r="CU12" s="239"/>
      <c r="CV12" s="239"/>
      <c r="CW12" s="239"/>
      <c r="CX12" s="239"/>
      <c r="CY12" s="239"/>
      <c r="CZ12" s="239"/>
      <c r="DA12" s="239"/>
      <c r="DB12" s="239"/>
      <c r="DC12" s="239"/>
      <c r="DD12" s="239"/>
      <c r="DE12" s="239"/>
      <c r="DF12" s="239"/>
      <c r="DG12" s="239"/>
      <c r="DH12" s="239"/>
      <c r="DI12" s="239"/>
      <c r="DJ12" s="239"/>
      <c r="DK12" s="239"/>
      <c r="DL12" s="239"/>
      <c r="DM12" s="239"/>
      <c r="DN12" s="239"/>
      <c r="DO12" s="239"/>
      <c r="DP12" s="239"/>
      <c r="DQ12" s="239"/>
      <c r="DR12" s="239"/>
      <c r="DS12" s="239"/>
      <c r="DT12" s="239"/>
      <c r="DU12" s="239"/>
      <c r="DV12" s="239"/>
      <c r="DW12" s="239"/>
      <c r="DX12" s="239"/>
      <c r="DY12" s="239"/>
      <c r="DZ12" s="239"/>
      <c r="EA12" s="239"/>
      <c r="EB12" s="239"/>
      <c r="EC12" s="239"/>
      <c r="ED12" s="239"/>
      <c r="EE12" s="239"/>
      <c r="EF12" s="239"/>
      <c r="EG12" s="239"/>
      <c r="EH12" s="239"/>
      <c r="EI12" s="239"/>
      <c r="EJ12" s="239"/>
      <c r="EK12" s="239"/>
      <c r="EL12" s="239"/>
      <c r="EM12" s="239"/>
      <c r="EN12" s="239"/>
      <c r="EO12" s="239"/>
      <c r="EP12" s="239"/>
      <c r="EQ12" s="239"/>
      <c r="ER12" s="239"/>
      <c r="ES12" s="239"/>
      <c r="ET12" s="239"/>
      <c r="EU12" s="239"/>
      <c r="EV12" s="239"/>
      <c r="EW12" s="239"/>
      <c r="EX12" s="239"/>
      <c r="EY12" s="239"/>
      <c r="EZ12" s="239"/>
      <c r="FA12" s="239"/>
      <c r="FB12" s="239"/>
      <c r="FC12" s="239"/>
      <c r="FD12" s="239"/>
      <c r="FE12" s="239"/>
      <c r="FF12" s="239"/>
      <c r="FG12" s="239"/>
      <c r="FH12" s="239"/>
      <c r="FI12" s="239"/>
      <c r="FJ12" s="239"/>
      <c r="FK12" s="239"/>
      <c r="FL12" s="239"/>
      <c r="FM12" s="239"/>
      <c r="FN12" s="239"/>
      <c r="FO12" s="239"/>
      <c r="FP12" s="239"/>
      <c r="FQ12" s="239"/>
      <c r="FR12" s="239"/>
      <c r="FS12" s="239"/>
      <c r="FT12" s="239"/>
      <c r="FU12" s="239"/>
      <c r="FV12" s="239"/>
      <c r="FW12" s="239"/>
    </row>
    <row r="13" spans="1:179" s="236" customFormat="1" ht="18">
      <c r="A13" s="251">
        <v>1</v>
      </c>
      <c r="B13" s="255">
        <v>4.0999999999999996</v>
      </c>
      <c r="C13" s="255">
        <v>8.5</v>
      </c>
      <c r="D13" s="255">
        <v>13.3</v>
      </c>
      <c r="E13" s="255">
        <v>40</v>
      </c>
      <c r="F13" s="255">
        <v>54</v>
      </c>
      <c r="G13" s="255">
        <v>70</v>
      </c>
      <c r="H13" s="255">
        <v>90</v>
      </c>
      <c r="I13" s="255">
        <v>118</v>
      </c>
      <c r="J13" s="255">
        <v>140</v>
      </c>
      <c r="K13" s="255">
        <v>200</v>
      </c>
      <c r="L13" s="255">
        <v>245</v>
      </c>
      <c r="M13" s="255">
        <v>320</v>
      </c>
      <c r="N13" s="255">
        <v>400</v>
      </c>
      <c r="O13" s="255">
        <v>510</v>
      </c>
      <c r="P13" s="255">
        <v>660</v>
      </c>
      <c r="Q13" s="255">
        <v>840</v>
      </c>
      <c r="R13" s="255">
        <v>1300</v>
      </c>
      <c r="S13" s="255">
        <v>2200</v>
      </c>
      <c r="T13" s="248"/>
      <c r="U13" s="248"/>
      <c r="V13" s="253">
        <v>1</v>
      </c>
      <c r="W13" s="254">
        <v>12</v>
      </c>
      <c r="X13" s="254">
        <v>17</v>
      </c>
      <c r="Y13" s="254">
        <v>18</v>
      </c>
      <c r="Z13" s="254">
        <v>25</v>
      </c>
      <c r="AA13" s="254">
        <v>28</v>
      </c>
      <c r="AB13" s="254">
        <v>30</v>
      </c>
      <c r="AC13" s="254">
        <v>37</v>
      </c>
      <c r="AD13" s="254">
        <v>49</v>
      </c>
      <c r="AE13" s="254">
        <v>66</v>
      </c>
      <c r="AF13" s="254">
        <v>70</v>
      </c>
      <c r="AG13" s="254">
        <v>105</v>
      </c>
      <c r="AH13" s="254">
        <v>130</v>
      </c>
      <c r="AI13" s="254">
        <v>170</v>
      </c>
      <c r="AJ13" s="254">
        <v>220</v>
      </c>
      <c r="AK13" s="254">
        <v>250</v>
      </c>
      <c r="AL13" s="254">
        <v>365</v>
      </c>
      <c r="AN13" s="239"/>
      <c r="AO13" s="239"/>
      <c r="AP13" s="239"/>
      <c r="AQ13" s="239"/>
      <c r="AR13" s="239"/>
      <c r="AS13" s="239"/>
      <c r="AT13" s="239"/>
      <c r="AU13" s="239"/>
      <c r="AV13" s="239"/>
      <c r="AW13" s="239"/>
      <c r="AX13" s="239"/>
      <c r="AY13" s="239"/>
      <c r="AZ13" s="239"/>
      <c r="BA13" s="239"/>
      <c r="BB13" s="239"/>
      <c r="BC13" s="239"/>
      <c r="BD13" s="239"/>
      <c r="BE13" s="239"/>
      <c r="BF13" s="239"/>
      <c r="BG13" s="239"/>
      <c r="BH13" s="239"/>
      <c r="BI13" s="239"/>
      <c r="BJ13" s="239"/>
      <c r="BK13" s="239"/>
      <c r="BL13" s="239"/>
      <c r="BM13" s="239"/>
      <c r="BN13" s="239"/>
      <c r="BO13" s="239"/>
      <c r="BP13" s="239"/>
      <c r="BQ13" s="239"/>
      <c r="BR13" s="239"/>
      <c r="BS13" s="239"/>
      <c r="BT13" s="239"/>
      <c r="BU13" s="239"/>
      <c r="BV13" s="239"/>
      <c r="BW13" s="239"/>
      <c r="BX13" s="239"/>
      <c r="BY13" s="239"/>
      <c r="BZ13" s="239"/>
      <c r="CA13" s="239"/>
      <c r="CB13" s="239"/>
      <c r="CC13" s="239"/>
      <c r="CD13" s="239"/>
      <c r="CE13" s="239"/>
      <c r="CF13" s="239"/>
      <c r="CG13" s="239"/>
      <c r="CH13" s="239"/>
      <c r="CI13" s="239"/>
      <c r="CJ13" s="239"/>
      <c r="CK13" s="239"/>
      <c r="CL13" s="239"/>
      <c r="CM13" s="239"/>
      <c r="CN13" s="239"/>
      <c r="CO13" s="239"/>
      <c r="CP13" s="239"/>
      <c r="CQ13" s="239"/>
      <c r="CR13" s="239"/>
      <c r="CS13" s="239"/>
      <c r="CT13" s="239"/>
      <c r="CU13" s="239"/>
      <c r="CV13" s="239"/>
      <c r="CW13" s="239"/>
      <c r="CX13" s="239"/>
      <c r="CY13" s="239"/>
      <c r="CZ13" s="239"/>
      <c r="DA13" s="239"/>
      <c r="DB13" s="239"/>
      <c r="DC13" s="239"/>
      <c r="DD13" s="239"/>
      <c r="DE13" s="239"/>
      <c r="DF13" s="239"/>
      <c r="DG13" s="239"/>
      <c r="DH13" s="239"/>
      <c r="DI13" s="239"/>
      <c r="DJ13" s="239"/>
      <c r="DK13" s="239"/>
      <c r="DL13" s="239"/>
      <c r="DM13" s="239"/>
      <c r="DN13" s="239"/>
      <c r="DO13" s="239"/>
      <c r="DP13" s="239"/>
      <c r="DQ13" s="239"/>
      <c r="DR13" s="239"/>
      <c r="DS13" s="239"/>
      <c r="DT13" s="239"/>
      <c r="DU13" s="239"/>
      <c r="DV13" s="239"/>
      <c r="DW13" s="239"/>
      <c r="DX13" s="239"/>
      <c r="DY13" s="239"/>
      <c r="DZ13" s="239"/>
      <c r="EA13" s="239"/>
      <c r="EB13" s="239"/>
      <c r="EC13" s="239"/>
      <c r="ED13" s="239"/>
      <c r="EE13" s="239"/>
      <c r="EF13" s="239"/>
      <c r="EG13" s="239"/>
      <c r="EH13" s="239"/>
      <c r="EI13" s="239"/>
      <c r="EJ13" s="239"/>
      <c r="EK13" s="239"/>
      <c r="EL13" s="239"/>
      <c r="EM13" s="239"/>
      <c r="EN13" s="239"/>
      <c r="EO13" s="239"/>
      <c r="EP13" s="239"/>
      <c r="EQ13" s="239"/>
      <c r="ER13" s="239"/>
      <c r="ES13" s="239"/>
      <c r="ET13" s="239"/>
      <c r="EU13" s="239"/>
      <c r="EV13" s="239"/>
      <c r="EW13" s="239"/>
      <c r="EX13" s="239"/>
      <c r="EY13" s="239"/>
      <c r="EZ13" s="239"/>
      <c r="FA13" s="239"/>
      <c r="FB13" s="239"/>
      <c r="FC13" s="239"/>
      <c r="FD13" s="239"/>
      <c r="FE13" s="239"/>
      <c r="FF13" s="239"/>
      <c r="FG13" s="239"/>
      <c r="FH13" s="239"/>
      <c r="FI13" s="239"/>
      <c r="FJ13" s="239"/>
      <c r="FK13" s="239"/>
      <c r="FL13" s="239"/>
      <c r="FM13" s="239"/>
      <c r="FN13" s="239"/>
      <c r="FO13" s="239"/>
      <c r="FP13" s="239"/>
      <c r="FQ13" s="239"/>
      <c r="FR13" s="239"/>
      <c r="FS13" s="239"/>
      <c r="FT13" s="239"/>
      <c r="FU13" s="239"/>
      <c r="FV13" s="239"/>
      <c r="FW13" s="239"/>
    </row>
    <row r="14" spans="1:179" s="236" customFormat="1" ht="18">
      <c r="A14" s="251">
        <v>0.5</v>
      </c>
      <c r="B14" s="255">
        <v>5.85</v>
      </c>
      <c r="C14" s="255">
        <v>13</v>
      </c>
      <c r="D14" s="255">
        <v>19</v>
      </c>
      <c r="E14" s="255">
        <v>56</v>
      </c>
      <c r="F14" s="255">
        <v>75</v>
      </c>
      <c r="G14" s="255">
        <v>100</v>
      </c>
      <c r="H14" s="255">
        <v>130</v>
      </c>
      <c r="I14" s="255">
        <v>170</v>
      </c>
      <c r="J14" s="255">
        <v>220</v>
      </c>
      <c r="K14" s="255">
        <v>280</v>
      </c>
      <c r="L14" s="255">
        <v>360</v>
      </c>
      <c r="M14" s="255">
        <v>450</v>
      </c>
      <c r="N14" s="255">
        <v>560</v>
      </c>
      <c r="O14" s="255">
        <v>740</v>
      </c>
      <c r="P14" s="255">
        <v>940</v>
      </c>
      <c r="Q14" s="255">
        <v>1200</v>
      </c>
      <c r="R14" s="255">
        <v>1900</v>
      </c>
      <c r="S14" s="255">
        <v>3000</v>
      </c>
      <c r="T14" s="248"/>
      <c r="U14" s="248"/>
      <c r="V14" s="253">
        <v>0.5</v>
      </c>
      <c r="W14" s="254">
        <v>16.3</v>
      </c>
      <c r="X14" s="254">
        <v>20.6</v>
      </c>
      <c r="Y14" s="254">
        <v>22</v>
      </c>
      <c r="Z14" s="254">
        <v>30</v>
      </c>
      <c r="AA14" s="254">
        <v>35</v>
      </c>
      <c r="AB14" s="254">
        <v>37</v>
      </c>
      <c r="AC14" s="254">
        <v>48</v>
      </c>
      <c r="AD14" s="254">
        <v>60</v>
      </c>
      <c r="AE14" s="254">
        <v>80</v>
      </c>
      <c r="AF14" s="254">
        <v>84</v>
      </c>
      <c r="AG14" s="254">
        <v>130</v>
      </c>
      <c r="AH14" s="254">
        <v>157</v>
      </c>
      <c r="AI14" s="254">
        <v>210</v>
      </c>
      <c r="AJ14" s="254">
        <v>260</v>
      </c>
      <c r="AK14" s="254">
        <v>310</v>
      </c>
      <c r="AL14" s="254">
        <v>480</v>
      </c>
      <c r="AN14" s="239"/>
      <c r="AO14" s="239"/>
      <c r="AP14" s="239"/>
      <c r="AQ14" s="239"/>
      <c r="AR14" s="239"/>
      <c r="AS14" s="239"/>
      <c r="AT14" s="239"/>
      <c r="AU14" s="239"/>
      <c r="AV14" s="239"/>
      <c r="AW14" s="239"/>
      <c r="AX14" s="239"/>
      <c r="AY14" s="239"/>
      <c r="AZ14" s="239"/>
      <c r="BA14" s="239"/>
      <c r="BB14" s="239"/>
      <c r="BC14" s="239"/>
      <c r="BD14" s="239"/>
      <c r="BE14" s="239"/>
      <c r="BF14" s="239"/>
      <c r="BG14" s="239"/>
      <c r="BH14" s="239"/>
      <c r="BI14" s="239"/>
      <c r="BJ14" s="239"/>
      <c r="BK14" s="239"/>
      <c r="BL14" s="239"/>
      <c r="BM14" s="239"/>
      <c r="BN14" s="239"/>
      <c r="BO14" s="239"/>
      <c r="BP14" s="239"/>
      <c r="BQ14" s="239"/>
      <c r="BR14" s="239"/>
      <c r="BS14" s="239"/>
      <c r="BT14" s="239"/>
      <c r="BU14" s="239"/>
      <c r="BV14" s="239"/>
      <c r="BW14" s="239"/>
      <c r="BX14" s="239"/>
      <c r="BY14" s="239"/>
      <c r="BZ14" s="239"/>
      <c r="CA14" s="239"/>
      <c r="CB14" s="239"/>
      <c r="CC14" s="239"/>
      <c r="CD14" s="239"/>
      <c r="CE14" s="239"/>
      <c r="CF14" s="239"/>
      <c r="CG14" s="239"/>
      <c r="CH14" s="239"/>
      <c r="CI14" s="239"/>
      <c r="CJ14" s="239"/>
      <c r="CK14" s="239"/>
      <c r="CL14" s="239"/>
      <c r="CM14" s="239"/>
      <c r="CN14" s="239"/>
      <c r="CO14" s="239"/>
      <c r="CP14" s="239"/>
      <c r="CQ14" s="239"/>
      <c r="CR14" s="239"/>
      <c r="CS14" s="239"/>
      <c r="CT14" s="239"/>
      <c r="CU14" s="239"/>
      <c r="CV14" s="239"/>
      <c r="CW14" s="239"/>
      <c r="CX14" s="239"/>
      <c r="CY14" s="239"/>
      <c r="CZ14" s="239"/>
      <c r="DA14" s="239"/>
      <c r="DB14" s="239"/>
      <c r="DC14" s="239"/>
      <c r="DD14" s="239"/>
      <c r="DE14" s="239"/>
      <c r="DF14" s="239"/>
      <c r="DG14" s="239"/>
      <c r="DH14" s="239"/>
      <c r="DI14" s="239"/>
      <c r="DJ14" s="239"/>
      <c r="DK14" s="239"/>
      <c r="DL14" s="239"/>
      <c r="DM14" s="239"/>
      <c r="DN14" s="239"/>
      <c r="DO14" s="239"/>
      <c r="DP14" s="239"/>
      <c r="DQ14" s="239"/>
      <c r="DR14" s="239"/>
      <c r="DS14" s="239"/>
      <c r="DT14" s="239"/>
      <c r="DU14" s="239"/>
      <c r="DV14" s="239"/>
      <c r="DW14" s="239"/>
      <c r="DX14" s="239"/>
      <c r="DY14" s="239"/>
      <c r="DZ14" s="239"/>
      <c r="EA14" s="239"/>
      <c r="EB14" s="239"/>
      <c r="EC14" s="239"/>
      <c r="ED14" s="239"/>
      <c r="EE14" s="239"/>
      <c r="EF14" s="239"/>
      <c r="EG14" s="239"/>
      <c r="EH14" s="239"/>
      <c r="EI14" s="239"/>
      <c r="EJ14" s="239"/>
      <c r="EK14" s="239"/>
      <c r="EL14" s="239"/>
      <c r="EM14" s="239"/>
      <c r="EN14" s="239"/>
      <c r="EO14" s="239"/>
      <c r="EP14" s="239"/>
      <c r="EQ14" s="239"/>
      <c r="ER14" s="239"/>
      <c r="ES14" s="239"/>
      <c r="ET14" s="239"/>
      <c r="EU14" s="239"/>
      <c r="EV14" s="239"/>
      <c r="EW14" s="239"/>
      <c r="EX14" s="239"/>
      <c r="EY14" s="239"/>
      <c r="EZ14" s="239"/>
      <c r="FA14" s="239"/>
      <c r="FB14" s="239"/>
      <c r="FC14" s="239"/>
      <c r="FD14" s="239"/>
      <c r="FE14" s="239"/>
      <c r="FF14" s="239"/>
      <c r="FG14" s="239"/>
      <c r="FH14" s="239"/>
      <c r="FI14" s="239"/>
      <c r="FJ14" s="239"/>
      <c r="FK14" s="239"/>
      <c r="FL14" s="239"/>
      <c r="FM14" s="239"/>
      <c r="FN14" s="239"/>
      <c r="FO14" s="239"/>
      <c r="FP14" s="239"/>
      <c r="FQ14" s="239"/>
      <c r="FR14" s="239"/>
      <c r="FS14" s="239"/>
      <c r="FT14" s="239"/>
      <c r="FU14" s="239"/>
      <c r="FV14" s="239"/>
      <c r="FW14" s="239"/>
    </row>
    <row r="15" spans="1:179" s="236" customFormat="1" ht="18">
      <c r="A15" s="251">
        <v>0.1</v>
      </c>
      <c r="B15" s="252">
        <v>15</v>
      </c>
      <c r="C15" s="252">
        <v>32</v>
      </c>
      <c r="D15" s="252">
        <v>46</v>
      </c>
      <c r="E15" s="252">
        <v>120</v>
      </c>
      <c r="F15" s="247">
        <v>166</v>
      </c>
      <c r="G15" s="252">
        <v>222.5</v>
      </c>
      <c r="H15" s="252">
        <v>300</v>
      </c>
      <c r="I15" s="252">
        <v>388</v>
      </c>
      <c r="J15" s="252">
        <v>510</v>
      </c>
      <c r="K15" s="252">
        <v>650</v>
      </c>
      <c r="L15" s="252">
        <v>825</v>
      </c>
      <c r="M15" s="252">
        <v>1040</v>
      </c>
      <c r="N15" s="252">
        <v>1300</v>
      </c>
      <c r="O15" s="252">
        <v>1650</v>
      </c>
      <c r="P15" s="252">
        <v>2150</v>
      </c>
      <c r="Q15" s="252">
        <v>2620</v>
      </c>
      <c r="R15" s="252">
        <v>4000</v>
      </c>
      <c r="S15" s="252">
        <v>6500</v>
      </c>
      <c r="T15" s="248"/>
      <c r="U15" s="248"/>
      <c r="V15" s="253">
        <v>0.1</v>
      </c>
      <c r="W15" s="254">
        <v>36</v>
      </c>
      <c r="X15" s="254">
        <v>41</v>
      </c>
      <c r="Y15" s="254">
        <v>44</v>
      </c>
      <c r="Z15" s="254">
        <v>60</v>
      </c>
      <c r="AA15" s="254">
        <v>68</v>
      </c>
      <c r="AB15" s="254">
        <v>72</v>
      </c>
      <c r="AC15" s="254">
        <v>90</v>
      </c>
      <c r="AD15" s="254">
        <v>110</v>
      </c>
      <c r="AE15" s="254">
        <v>155</v>
      </c>
      <c r="AF15" s="254">
        <v>165</v>
      </c>
      <c r="AG15" s="254">
        <v>250</v>
      </c>
      <c r="AH15" s="254">
        <v>300</v>
      </c>
      <c r="AI15" s="254">
        <v>400</v>
      </c>
      <c r="AJ15" s="254">
        <v>500</v>
      </c>
      <c r="AK15" s="254">
        <v>580</v>
      </c>
      <c r="AL15" s="254">
        <v>940</v>
      </c>
      <c r="AN15" s="239"/>
      <c r="AO15" s="239"/>
      <c r="AP15" s="239"/>
      <c r="AQ15" s="239"/>
      <c r="AR15" s="239"/>
      <c r="AS15" s="239"/>
      <c r="AT15" s="239"/>
      <c r="AU15" s="239"/>
      <c r="AV15" s="239"/>
      <c r="AW15" s="239"/>
      <c r="AX15" s="239"/>
      <c r="AY15" s="239"/>
      <c r="AZ15" s="239"/>
      <c r="BA15" s="239"/>
      <c r="BB15" s="239"/>
      <c r="BC15" s="239"/>
      <c r="BD15" s="239"/>
      <c r="BE15" s="239"/>
      <c r="BF15" s="239"/>
      <c r="BG15" s="239"/>
      <c r="BH15" s="239"/>
      <c r="BI15" s="239"/>
      <c r="BJ15" s="239"/>
      <c r="BK15" s="239"/>
      <c r="BL15" s="239"/>
      <c r="BM15" s="239"/>
      <c r="BN15" s="239"/>
      <c r="BO15" s="239"/>
      <c r="BP15" s="239"/>
      <c r="BQ15" s="239"/>
      <c r="BR15" s="239"/>
      <c r="BS15" s="239"/>
      <c r="BT15" s="239"/>
      <c r="BU15" s="239"/>
      <c r="BV15" s="239"/>
      <c r="BW15" s="239"/>
      <c r="BX15" s="239"/>
      <c r="BY15" s="239"/>
      <c r="BZ15" s="239"/>
      <c r="CA15" s="239"/>
      <c r="CB15" s="239"/>
      <c r="CC15" s="239"/>
      <c r="CD15" s="239"/>
      <c r="CE15" s="239"/>
      <c r="CF15" s="239"/>
      <c r="CG15" s="239"/>
      <c r="CH15" s="239"/>
      <c r="CI15" s="239"/>
      <c r="CJ15" s="239"/>
      <c r="CK15" s="239"/>
      <c r="CL15" s="239"/>
      <c r="CM15" s="239"/>
      <c r="CN15" s="239"/>
      <c r="CO15" s="239"/>
      <c r="CP15" s="239"/>
      <c r="CQ15" s="239"/>
      <c r="CR15" s="239"/>
      <c r="CS15" s="239"/>
      <c r="CT15" s="239"/>
      <c r="CU15" s="239"/>
      <c r="CV15" s="239"/>
      <c r="CW15" s="239"/>
      <c r="CX15" s="239"/>
      <c r="CY15" s="239"/>
      <c r="CZ15" s="239"/>
      <c r="DA15" s="239"/>
      <c r="DB15" s="239"/>
      <c r="DC15" s="239"/>
      <c r="DD15" s="239"/>
      <c r="DE15" s="239"/>
      <c r="DF15" s="239"/>
      <c r="DG15" s="239"/>
      <c r="DH15" s="239"/>
      <c r="DI15" s="239"/>
      <c r="DJ15" s="239"/>
      <c r="DK15" s="239"/>
      <c r="DL15" s="239"/>
      <c r="DM15" s="239"/>
      <c r="DN15" s="239"/>
      <c r="DO15" s="239"/>
      <c r="DP15" s="239"/>
      <c r="DQ15" s="239"/>
      <c r="DR15" s="239"/>
      <c r="DS15" s="239"/>
      <c r="DT15" s="239"/>
      <c r="DU15" s="239"/>
      <c r="DV15" s="239"/>
      <c r="DW15" s="239"/>
      <c r="DX15" s="239"/>
      <c r="DY15" s="239"/>
      <c r="DZ15" s="239"/>
      <c r="EA15" s="239"/>
      <c r="EB15" s="239"/>
      <c r="EC15" s="239"/>
      <c r="ED15" s="239"/>
      <c r="EE15" s="239"/>
      <c r="EF15" s="239"/>
      <c r="EG15" s="239"/>
      <c r="EH15" s="239"/>
      <c r="EI15" s="239"/>
      <c r="EJ15" s="239"/>
      <c r="EK15" s="239"/>
      <c r="EL15" s="239"/>
      <c r="EM15" s="239"/>
      <c r="EN15" s="239"/>
      <c r="EO15" s="239"/>
      <c r="EP15" s="239"/>
      <c r="EQ15" s="239"/>
      <c r="ER15" s="239"/>
      <c r="ES15" s="239"/>
      <c r="ET15" s="239"/>
      <c r="EU15" s="239"/>
      <c r="EV15" s="239"/>
      <c r="EW15" s="239"/>
      <c r="EX15" s="239"/>
      <c r="EY15" s="239"/>
      <c r="EZ15" s="239"/>
      <c r="FA15" s="239"/>
      <c r="FB15" s="239"/>
      <c r="FC15" s="239"/>
      <c r="FD15" s="239"/>
      <c r="FE15" s="239"/>
      <c r="FF15" s="239"/>
      <c r="FG15" s="239"/>
      <c r="FH15" s="239"/>
      <c r="FI15" s="239"/>
      <c r="FJ15" s="239"/>
      <c r="FK15" s="239"/>
      <c r="FL15" s="239"/>
      <c r="FM15" s="239"/>
      <c r="FN15" s="239"/>
      <c r="FO15" s="239"/>
      <c r="FP15" s="239"/>
      <c r="FQ15" s="239"/>
      <c r="FR15" s="239"/>
      <c r="FS15" s="239"/>
      <c r="FT15" s="239"/>
      <c r="FU15" s="239"/>
      <c r="FV15" s="239"/>
      <c r="FW15" s="239"/>
    </row>
    <row r="16" spans="1:179" s="236" customFormat="1" ht="18">
      <c r="A16" s="251">
        <v>0.09</v>
      </c>
      <c r="B16" s="252">
        <v>15.7</v>
      </c>
      <c r="C16" s="252">
        <v>34</v>
      </c>
      <c r="D16" s="252">
        <v>48.5</v>
      </c>
      <c r="E16" s="252">
        <v>127</v>
      </c>
      <c r="F16" s="247">
        <v>175</v>
      </c>
      <c r="G16" s="252">
        <v>240</v>
      </c>
      <c r="H16" s="252">
        <v>320</v>
      </c>
      <c r="I16" s="252">
        <v>420</v>
      </c>
      <c r="J16" s="252">
        <v>530</v>
      </c>
      <c r="K16" s="252">
        <v>690</v>
      </c>
      <c r="L16" s="252">
        <v>880</v>
      </c>
      <c r="M16" s="252">
        <v>1100</v>
      </c>
      <c r="N16" s="252">
        <v>1370</v>
      </c>
      <c r="O16" s="252">
        <v>1770</v>
      </c>
      <c r="P16" s="252">
        <v>2250</v>
      </c>
      <c r="Q16" s="252">
        <v>2800</v>
      </c>
      <c r="R16" s="252">
        <v>4300</v>
      </c>
      <c r="S16" s="252">
        <v>6800</v>
      </c>
      <c r="T16" s="248"/>
      <c r="U16" s="248"/>
      <c r="V16" s="253">
        <v>0.09</v>
      </c>
      <c r="W16" s="254">
        <v>39</v>
      </c>
      <c r="X16" s="254">
        <v>44</v>
      </c>
      <c r="Y16" s="254">
        <v>47</v>
      </c>
      <c r="Z16" s="254">
        <v>64</v>
      </c>
      <c r="AA16" s="254">
        <v>74</v>
      </c>
      <c r="AB16" s="254">
        <v>77</v>
      </c>
      <c r="AC16" s="254">
        <v>94</v>
      </c>
      <c r="AD16" s="254">
        <v>115</v>
      </c>
      <c r="AE16" s="254">
        <v>160</v>
      </c>
      <c r="AF16" s="254">
        <v>171</v>
      </c>
      <c r="AG16" s="254">
        <v>265</v>
      </c>
      <c r="AH16" s="254">
        <v>315</v>
      </c>
      <c r="AI16" s="254">
        <v>430</v>
      </c>
      <c r="AJ16" s="254">
        <v>525</v>
      </c>
      <c r="AK16" s="254">
        <v>620</v>
      </c>
      <c r="AL16" s="254">
        <v>980</v>
      </c>
      <c r="AN16" s="239"/>
      <c r="AO16" s="239"/>
      <c r="AP16" s="239"/>
      <c r="AQ16" s="239"/>
      <c r="AR16" s="239"/>
      <c r="AS16" s="239"/>
      <c r="AT16" s="239"/>
      <c r="AU16" s="239"/>
      <c r="AV16" s="239"/>
      <c r="AW16" s="239"/>
      <c r="AX16" s="239"/>
      <c r="AY16" s="239"/>
      <c r="AZ16" s="239"/>
      <c r="BA16" s="239"/>
      <c r="BB16" s="239"/>
      <c r="BC16" s="239"/>
      <c r="BD16" s="239"/>
      <c r="BE16" s="239"/>
      <c r="BF16" s="239"/>
      <c r="BG16" s="239"/>
      <c r="BH16" s="239"/>
      <c r="BI16" s="239"/>
      <c r="BJ16" s="239"/>
      <c r="BK16" s="239"/>
      <c r="BL16" s="239"/>
      <c r="BM16" s="239"/>
      <c r="BN16" s="239"/>
      <c r="BO16" s="239"/>
      <c r="BP16" s="239"/>
      <c r="BQ16" s="239"/>
      <c r="BR16" s="239"/>
      <c r="BS16" s="239"/>
      <c r="BT16" s="239"/>
      <c r="BU16" s="239"/>
      <c r="BV16" s="239"/>
      <c r="BW16" s="239"/>
      <c r="BX16" s="239"/>
      <c r="BY16" s="239"/>
      <c r="BZ16" s="239"/>
      <c r="CA16" s="239"/>
      <c r="CB16" s="239"/>
      <c r="CC16" s="239"/>
      <c r="CD16" s="239"/>
      <c r="CE16" s="239"/>
      <c r="CF16" s="239"/>
      <c r="CG16" s="239"/>
      <c r="CH16" s="239"/>
      <c r="CI16" s="239"/>
      <c r="CJ16" s="239"/>
      <c r="CK16" s="239"/>
      <c r="CL16" s="239"/>
      <c r="CM16" s="239"/>
      <c r="CN16" s="239"/>
      <c r="CO16" s="239"/>
      <c r="CP16" s="239"/>
      <c r="CQ16" s="239"/>
      <c r="CR16" s="239"/>
      <c r="CS16" s="239"/>
      <c r="CT16" s="239"/>
      <c r="CU16" s="239"/>
      <c r="CV16" s="239"/>
      <c r="CW16" s="239"/>
      <c r="CX16" s="239"/>
      <c r="CY16" s="239"/>
      <c r="CZ16" s="239"/>
      <c r="DA16" s="239"/>
      <c r="DB16" s="239"/>
      <c r="DC16" s="239"/>
      <c r="DD16" s="239"/>
      <c r="DE16" s="239"/>
      <c r="DF16" s="239"/>
      <c r="DG16" s="239"/>
      <c r="DH16" s="239"/>
      <c r="DI16" s="239"/>
      <c r="DJ16" s="239"/>
      <c r="DK16" s="239"/>
      <c r="DL16" s="239"/>
      <c r="DM16" s="239"/>
      <c r="DN16" s="239"/>
      <c r="DO16" s="239"/>
      <c r="DP16" s="239"/>
      <c r="DQ16" s="239"/>
      <c r="DR16" s="239"/>
      <c r="DS16" s="239"/>
      <c r="DT16" s="239"/>
      <c r="DU16" s="239"/>
      <c r="DV16" s="239"/>
      <c r="DW16" s="239"/>
      <c r="DX16" s="239"/>
      <c r="DY16" s="239"/>
      <c r="DZ16" s="239"/>
      <c r="EA16" s="239"/>
      <c r="EB16" s="239"/>
      <c r="EC16" s="239"/>
      <c r="ED16" s="239"/>
      <c r="EE16" s="239"/>
      <c r="EF16" s="239"/>
      <c r="EG16" s="239"/>
      <c r="EH16" s="239"/>
      <c r="EI16" s="239"/>
      <c r="EJ16" s="239"/>
      <c r="EK16" s="239"/>
      <c r="EL16" s="239"/>
      <c r="EM16" s="239"/>
      <c r="EN16" s="239"/>
      <c r="EO16" s="239"/>
      <c r="EP16" s="239"/>
      <c r="EQ16" s="239"/>
      <c r="ER16" s="239"/>
      <c r="ES16" s="239"/>
      <c r="ET16" s="239"/>
      <c r="EU16" s="239"/>
      <c r="EV16" s="239"/>
      <c r="EW16" s="239"/>
      <c r="EX16" s="239"/>
      <c r="EY16" s="239"/>
      <c r="EZ16" s="239"/>
      <c r="FA16" s="239"/>
      <c r="FB16" s="239"/>
      <c r="FC16" s="239"/>
      <c r="FD16" s="239"/>
      <c r="FE16" s="239"/>
      <c r="FF16" s="239"/>
      <c r="FG16" s="239"/>
      <c r="FH16" s="239"/>
      <c r="FI16" s="239"/>
      <c r="FJ16" s="239"/>
      <c r="FK16" s="239"/>
      <c r="FL16" s="239"/>
      <c r="FM16" s="239"/>
      <c r="FN16" s="239"/>
      <c r="FO16" s="239"/>
      <c r="FP16" s="239"/>
      <c r="FQ16" s="239"/>
      <c r="FR16" s="239"/>
      <c r="FS16" s="239"/>
      <c r="FT16" s="239"/>
      <c r="FU16" s="239"/>
      <c r="FV16" s="239"/>
      <c r="FW16" s="239"/>
    </row>
    <row r="17" spans="1:179" s="236" customFormat="1" ht="18">
      <c r="A17" s="251">
        <v>0.08</v>
      </c>
      <c r="B17" s="252">
        <v>17</v>
      </c>
      <c r="C17" s="252">
        <v>37</v>
      </c>
      <c r="D17" s="252">
        <v>52</v>
      </c>
      <c r="E17" s="252">
        <v>135</v>
      </c>
      <c r="F17" s="247">
        <v>188</v>
      </c>
      <c r="G17" s="252">
        <v>255</v>
      </c>
      <c r="H17" s="252">
        <v>335</v>
      </c>
      <c r="I17" s="252">
        <v>435</v>
      </c>
      <c r="J17" s="252">
        <v>570</v>
      </c>
      <c r="K17" s="252">
        <v>735</v>
      </c>
      <c r="L17" s="252">
        <v>935</v>
      </c>
      <c r="M17" s="252">
        <v>1180</v>
      </c>
      <c r="N17" s="252">
        <v>1470</v>
      </c>
      <c r="O17" s="252">
        <v>1890</v>
      </c>
      <c r="P17" s="252">
        <v>2400</v>
      </c>
      <c r="Q17" s="252">
        <v>3000</v>
      </c>
      <c r="R17" s="252">
        <v>4500</v>
      </c>
      <c r="S17" s="252">
        <v>7200</v>
      </c>
      <c r="T17" s="248"/>
      <c r="U17" s="248"/>
      <c r="V17" s="253">
        <v>0.08</v>
      </c>
      <c r="W17" s="254">
        <v>41</v>
      </c>
      <c r="X17" s="254">
        <v>47</v>
      </c>
      <c r="Y17" s="254">
        <v>50</v>
      </c>
      <c r="Z17" s="254">
        <v>68</v>
      </c>
      <c r="AA17" s="254">
        <v>77</v>
      </c>
      <c r="AB17" s="254">
        <v>81</v>
      </c>
      <c r="AC17" s="254">
        <v>100</v>
      </c>
      <c r="AD17" s="254">
        <v>121</v>
      </c>
      <c r="AE17" s="254">
        <v>170</v>
      </c>
      <c r="AF17" s="254">
        <v>181</v>
      </c>
      <c r="AG17" s="254">
        <v>280</v>
      </c>
      <c r="AH17" s="254">
        <v>335</v>
      </c>
      <c r="AI17" s="254">
        <v>450</v>
      </c>
      <c r="AJ17" s="254">
        <v>560</v>
      </c>
      <c r="AK17" s="254">
        <v>660</v>
      </c>
      <c r="AL17" s="254">
        <v>1040</v>
      </c>
      <c r="AN17" s="239"/>
      <c r="AO17" s="239"/>
      <c r="AP17" s="239"/>
      <c r="AQ17" s="239"/>
      <c r="AR17" s="239"/>
      <c r="AS17" s="239"/>
      <c r="AT17" s="239"/>
      <c r="AU17" s="239"/>
      <c r="AV17" s="239"/>
      <c r="AW17" s="239"/>
      <c r="AX17" s="239"/>
      <c r="AY17" s="239"/>
      <c r="AZ17" s="239"/>
      <c r="BA17" s="239"/>
      <c r="BB17" s="239"/>
      <c r="BC17" s="239"/>
      <c r="BD17" s="239"/>
      <c r="BE17" s="239"/>
      <c r="BF17" s="239"/>
      <c r="BG17" s="239"/>
      <c r="BH17" s="239"/>
      <c r="BI17" s="239"/>
      <c r="BJ17" s="239"/>
      <c r="BK17" s="239"/>
      <c r="BL17" s="239"/>
      <c r="BM17" s="239"/>
      <c r="BN17" s="239"/>
      <c r="BO17" s="239"/>
      <c r="BP17" s="239"/>
      <c r="BQ17" s="239"/>
      <c r="BR17" s="239"/>
      <c r="BS17" s="239"/>
      <c r="BT17" s="239"/>
      <c r="BU17" s="239"/>
      <c r="BV17" s="239"/>
      <c r="BW17" s="239"/>
      <c r="BX17" s="239"/>
      <c r="BY17" s="239"/>
      <c r="BZ17" s="239"/>
      <c r="CA17" s="239"/>
      <c r="CB17" s="239"/>
      <c r="CC17" s="239"/>
      <c r="CD17" s="239"/>
      <c r="CE17" s="239"/>
      <c r="CF17" s="239"/>
      <c r="CG17" s="239"/>
      <c r="CH17" s="239"/>
      <c r="CI17" s="239"/>
      <c r="CJ17" s="239"/>
      <c r="CK17" s="239"/>
      <c r="CL17" s="239"/>
      <c r="CM17" s="239"/>
      <c r="CN17" s="239"/>
      <c r="CO17" s="239"/>
      <c r="CP17" s="239"/>
      <c r="CQ17" s="239"/>
      <c r="CR17" s="239"/>
      <c r="CS17" s="239"/>
      <c r="CT17" s="239"/>
      <c r="CU17" s="239"/>
      <c r="CV17" s="239"/>
      <c r="CW17" s="239"/>
      <c r="CX17" s="239"/>
      <c r="CY17" s="239"/>
      <c r="CZ17" s="239"/>
      <c r="DA17" s="239"/>
      <c r="DB17" s="239"/>
      <c r="DC17" s="239"/>
      <c r="DD17" s="239"/>
      <c r="DE17" s="239"/>
      <c r="DF17" s="239"/>
      <c r="DG17" s="239"/>
      <c r="DH17" s="239"/>
      <c r="DI17" s="239"/>
      <c r="DJ17" s="239"/>
      <c r="DK17" s="239"/>
      <c r="DL17" s="239"/>
      <c r="DM17" s="239"/>
      <c r="DN17" s="239"/>
      <c r="DO17" s="239"/>
      <c r="DP17" s="239"/>
      <c r="DQ17" s="239"/>
      <c r="DR17" s="239"/>
      <c r="DS17" s="239"/>
      <c r="DT17" s="239"/>
      <c r="DU17" s="239"/>
      <c r="DV17" s="239"/>
      <c r="DW17" s="239"/>
      <c r="DX17" s="239"/>
      <c r="DY17" s="239"/>
      <c r="DZ17" s="239"/>
      <c r="EA17" s="239"/>
      <c r="EB17" s="239"/>
      <c r="EC17" s="239"/>
      <c r="ED17" s="239"/>
      <c r="EE17" s="239"/>
      <c r="EF17" s="239"/>
      <c r="EG17" s="239"/>
      <c r="EH17" s="239"/>
      <c r="EI17" s="239"/>
      <c r="EJ17" s="239"/>
      <c r="EK17" s="239"/>
      <c r="EL17" s="239"/>
      <c r="EM17" s="239"/>
      <c r="EN17" s="239"/>
      <c r="EO17" s="239"/>
      <c r="EP17" s="239"/>
      <c r="EQ17" s="239"/>
      <c r="ER17" s="239"/>
      <c r="ES17" s="239"/>
      <c r="ET17" s="239"/>
      <c r="EU17" s="239"/>
      <c r="EV17" s="239"/>
      <c r="EW17" s="239"/>
      <c r="EX17" s="239"/>
      <c r="EY17" s="239"/>
      <c r="EZ17" s="239"/>
      <c r="FA17" s="239"/>
      <c r="FB17" s="239"/>
      <c r="FC17" s="239"/>
      <c r="FD17" s="239"/>
      <c r="FE17" s="239"/>
      <c r="FF17" s="239"/>
      <c r="FG17" s="239"/>
      <c r="FH17" s="239"/>
      <c r="FI17" s="239"/>
      <c r="FJ17" s="239"/>
      <c r="FK17" s="239"/>
      <c r="FL17" s="239"/>
      <c r="FM17" s="239"/>
      <c r="FN17" s="239"/>
      <c r="FO17" s="239"/>
      <c r="FP17" s="239"/>
      <c r="FQ17" s="239"/>
      <c r="FR17" s="239"/>
      <c r="FS17" s="239"/>
      <c r="FT17" s="239"/>
      <c r="FU17" s="239"/>
      <c r="FV17" s="239"/>
      <c r="FW17" s="239"/>
    </row>
    <row r="18" spans="1:179" s="236" customFormat="1" ht="18">
      <c r="A18" s="251">
        <v>7.0000000000000007E-2</v>
      </c>
      <c r="B18" s="252">
        <v>18.2</v>
      </c>
      <c r="C18" s="252">
        <v>39</v>
      </c>
      <c r="D18" s="252">
        <v>56</v>
      </c>
      <c r="E18" s="252">
        <v>145</v>
      </c>
      <c r="F18" s="247">
        <v>200</v>
      </c>
      <c r="G18" s="252">
        <v>274</v>
      </c>
      <c r="H18" s="252">
        <v>360</v>
      </c>
      <c r="I18" s="252">
        <v>470</v>
      </c>
      <c r="J18" s="252">
        <v>610</v>
      </c>
      <c r="K18" s="252">
        <v>790</v>
      </c>
      <c r="L18" s="252">
        <v>1000</v>
      </c>
      <c r="M18" s="252">
        <v>1270</v>
      </c>
      <c r="N18" s="252">
        <v>1570</v>
      </c>
      <c r="O18" s="252">
        <v>2000</v>
      </c>
      <c r="P18" s="252">
        <v>2550</v>
      </c>
      <c r="Q18" s="252">
        <v>3200</v>
      </c>
      <c r="R18" s="252">
        <v>4800</v>
      </c>
      <c r="S18" s="252">
        <v>7800</v>
      </c>
      <c r="T18" s="248"/>
      <c r="U18" s="248"/>
      <c r="V18" s="253">
        <v>7.0000000000000007E-2</v>
      </c>
      <c r="W18" s="254">
        <v>44</v>
      </c>
      <c r="X18" s="254">
        <v>50</v>
      </c>
      <c r="Y18" s="254">
        <v>53</v>
      </c>
      <c r="Z18" s="254">
        <v>72</v>
      </c>
      <c r="AA18" s="254">
        <v>82</v>
      </c>
      <c r="AB18" s="254">
        <v>88</v>
      </c>
      <c r="AC18" s="254">
        <v>105</v>
      </c>
      <c r="AD18" s="254">
        <v>130</v>
      </c>
      <c r="AE18" s="254">
        <v>180</v>
      </c>
      <c r="AF18" s="254">
        <v>195</v>
      </c>
      <c r="AG18" s="254">
        <v>297</v>
      </c>
      <c r="AH18" s="254">
        <v>355</v>
      </c>
      <c r="AI18" s="254">
        <v>480</v>
      </c>
      <c r="AJ18" s="254">
        <v>600</v>
      </c>
      <c r="AK18" s="254">
        <v>700</v>
      </c>
      <c r="AL18" s="254">
        <v>1100</v>
      </c>
      <c r="AN18" s="239"/>
      <c r="AO18" s="239"/>
      <c r="AP18" s="239"/>
      <c r="AQ18" s="239"/>
      <c r="AR18" s="239"/>
      <c r="AS18" s="239"/>
      <c r="AT18" s="239"/>
      <c r="AU18" s="239"/>
      <c r="AV18" s="239"/>
      <c r="AW18" s="239"/>
      <c r="AX18" s="239"/>
      <c r="AY18" s="239"/>
      <c r="AZ18" s="239"/>
      <c r="BA18" s="239"/>
      <c r="BB18" s="239"/>
      <c r="BC18" s="239"/>
      <c r="BD18" s="239"/>
      <c r="BE18" s="239"/>
      <c r="BF18" s="239"/>
      <c r="BG18" s="239"/>
      <c r="BH18" s="239"/>
      <c r="BI18" s="239"/>
      <c r="BJ18" s="239"/>
      <c r="BK18" s="239"/>
      <c r="BL18" s="239"/>
      <c r="BM18" s="239"/>
      <c r="BN18" s="239"/>
      <c r="BO18" s="239"/>
      <c r="BP18" s="239"/>
      <c r="BQ18" s="239"/>
      <c r="BR18" s="239"/>
      <c r="BS18" s="239"/>
      <c r="BT18" s="239"/>
      <c r="BU18" s="239"/>
      <c r="BV18" s="239"/>
      <c r="BW18" s="239"/>
      <c r="BX18" s="239"/>
      <c r="BY18" s="239"/>
      <c r="BZ18" s="239"/>
      <c r="CA18" s="239"/>
      <c r="CB18" s="239"/>
      <c r="CC18" s="239"/>
      <c r="CD18" s="239"/>
      <c r="CE18" s="239"/>
      <c r="CF18" s="239"/>
      <c r="CG18" s="239"/>
      <c r="CH18" s="239"/>
      <c r="CI18" s="239"/>
      <c r="CJ18" s="239"/>
      <c r="CK18" s="239"/>
      <c r="CL18" s="239"/>
      <c r="CM18" s="239"/>
      <c r="CN18" s="239"/>
      <c r="CO18" s="239"/>
      <c r="CP18" s="239"/>
      <c r="CQ18" s="239"/>
      <c r="CR18" s="239"/>
      <c r="CS18" s="239"/>
      <c r="CT18" s="239"/>
      <c r="CU18" s="239"/>
      <c r="CV18" s="239"/>
      <c r="CW18" s="239"/>
      <c r="CX18" s="239"/>
      <c r="CY18" s="239"/>
      <c r="CZ18" s="239"/>
      <c r="DA18" s="239"/>
      <c r="DB18" s="239"/>
      <c r="DC18" s="239"/>
      <c r="DD18" s="239"/>
      <c r="DE18" s="239"/>
      <c r="DF18" s="239"/>
      <c r="DG18" s="239"/>
      <c r="DH18" s="239"/>
      <c r="DI18" s="239"/>
      <c r="DJ18" s="239"/>
      <c r="DK18" s="239"/>
      <c r="DL18" s="239"/>
      <c r="DM18" s="239"/>
      <c r="DN18" s="239"/>
      <c r="DO18" s="239"/>
      <c r="DP18" s="239"/>
      <c r="DQ18" s="239"/>
      <c r="DR18" s="239"/>
      <c r="DS18" s="239"/>
      <c r="DT18" s="239"/>
      <c r="DU18" s="239"/>
      <c r="DV18" s="239"/>
      <c r="DW18" s="239"/>
      <c r="DX18" s="239"/>
      <c r="DY18" s="239"/>
      <c r="DZ18" s="239"/>
      <c r="EA18" s="239"/>
      <c r="EB18" s="239"/>
      <c r="EC18" s="239"/>
      <c r="ED18" s="239"/>
      <c r="EE18" s="239"/>
      <c r="EF18" s="239"/>
      <c r="EG18" s="239"/>
      <c r="EH18" s="239"/>
      <c r="EI18" s="239"/>
      <c r="EJ18" s="239"/>
      <c r="EK18" s="239"/>
      <c r="EL18" s="239"/>
      <c r="EM18" s="239"/>
      <c r="EN18" s="239"/>
      <c r="EO18" s="239"/>
      <c r="EP18" s="239"/>
      <c r="EQ18" s="239"/>
      <c r="ER18" s="239"/>
      <c r="ES18" s="239"/>
      <c r="ET18" s="239"/>
      <c r="EU18" s="239"/>
      <c r="EV18" s="239"/>
      <c r="EW18" s="239"/>
      <c r="EX18" s="239"/>
      <c r="EY18" s="239"/>
      <c r="EZ18" s="239"/>
      <c r="FA18" s="239"/>
      <c r="FB18" s="239"/>
      <c r="FC18" s="239"/>
      <c r="FD18" s="239"/>
      <c r="FE18" s="239"/>
      <c r="FF18" s="239"/>
      <c r="FG18" s="239"/>
      <c r="FH18" s="239"/>
      <c r="FI18" s="239"/>
      <c r="FJ18" s="239"/>
      <c r="FK18" s="239"/>
      <c r="FL18" s="239"/>
      <c r="FM18" s="239"/>
      <c r="FN18" s="239"/>
      <c r="FO18" s="239"/>
      <c r="FP18" s="239"/>
      <c r="FQ18" s="239"/>
      <c r="FR18" s="239"/>
      <c r="FS18" s="239"/>
      <c r="FT18" s="239"/>
      <c r="FU18" s="239"/>
      <c r="FV18" s="239"/>
      <c r="FW18" s="239"/>
    </row>
    <row r="19" spans="1:179" s="236" customFormat="1" ht="18">
      <c r="A19" s="251">
        <v>0.06</v>
      </c>
      <c r="B19" s="252">
        <v>20</v>
      </c>
      <c r="C19" s="252">
        <v>43</v>
      </c>
      <c r="D19" s="252">
        <v>60.5</v>
      </c>
      <c r="E19" s="252">
        <v>157</v>
      </c>
      <c r="F19" s="247">
        <v>218</v>
      </c>
      <c r="G19" s="252">
        <v>293</v>
      </c>
      <c r="H19" s="252">
        <v>390</v>
      </c>
      <c r="I19" s="252">
        <v>505</v>
      </c>
      <c r="J19" s="252">
        <v>670</v>
      </c>
      <c r="K19" s="252">
        <v>850</v>
      </c>
      <c r="L19" s="252">
        <v>1090</v>
      </c>
      <c r="M19" s="252">
        <v>1390</v>
      </c>
      <c r="N19" s="252">
        <v>1700</v>
      </c>
      <c r="O19" s="252">
        <v>2200</v>
      </c>
      <c r="P19" s="252">
        <v>2750</v>
      </c>
      <c r="Q19" s="252">
        <v>3500</v>
      </c>
      <c r="R19" s="252">
        <v>5100</v>
      </c>
      <c r="S19" s="252">
        <v>8300</v>
      </c>
      <c r="T19" s="248"/>
      <c r="U19" s="248"/>
      <c r="V19" s="253">
        <v>0.06</v>
      </c>
      <c r="W19" s="254">
        <v>48</v>
      </c>
      <c r="X19" s="254">
        <v>54</v>
      </c>
      <c r="Y19" s="254">
        <v>57</v>
      </c>
      <c r="Z19" s="254">
        <v>79</v>
      </c>
      <c r="AA19" s="254">
        <v>90</v>
      </c>
      <c r="AB19" s="254">
        <v>94</v>
      </c>
      <c r="AC19" s="254">
        <v>113</v>
      </c>
      <c r="AD19" s="254">
        <v>139</v>
      </c>
      <c r="AE19" s="254">
        <v>196</v>
      </c>
      <c r="AF19" s="254">
        <v>210</v>
      </c>
      <c r="AG19" s="254">
        <v>320</v>
      </c>
      <c r="AH19" s="254">
        <v>390</v>
      </c>
      <c r="AI19" s="254">
        <v>510</v>
      </c>
      <c r="AJ19" s="254">
        <v>650</v>
      </c>
      <c r="AK19" s="254">
        <v>750</v>
      </c>
      <c r="AL19" s="254">
        <v>1200</v>
      </c>
      <c r="AN19" s="239"/>
      <c r="AO19" s="239"/>
      <c r="AP19" s="239"/>
      <c r="AQ19" s="239"/>
      <c r="AR19" s="239"/>
      <c r="AS19" s="239"/>
      <c r="AT19" s="239"/>
      <c r="AU19" s="239"/>
      <c r="AV19" s="239"/>
      <c r="AW19" s="239"/>
      <c r="AX19" s="239"/>
      <c r="AY19" s="239"/>
      <c r="AZ19" s="239"/>
      <c r="BA19" s="239"/>
      <c r="BB19" s="239"/>
      <c r="BC19" s="239"/>
      <c r="BD19" s="239"/>
      <c r="BE19" s="239"/>
      <c r="BF19" s="239"/>
      <c r="BG19" s="239"/>
      <c r="BH19" s="239"/>
      <c r="BI19" s="239"/>
      <c r="BJ19" s="239"/>
      <c r="BK19" s="239"/>
      <c r="BL19" s="239"/>
      <c r="BM19" s="239"/>
      <c r="BN19" s="239"/>
      <c r="BO19" s="239"/>
      <c r="BP19" s="239"/>
      <c r="BQ19" s="239"/>
      <c r="BR19" s="239"/>
      <c r="BS19" s="239"/>
      <c r="BT19" s="239"/>
      <c r="BU19" s="239"/>
      <c r="BV19" s="239"/>
      <c r="BW19" s="239"/>
      <c r="BX19" s="239"/>
      <c r="BY19" s="239"/>
      <c r="BZ19" s="239"/>
      <c r="CA19" s="239"/>
      <c r="CB19" s="239"/>
      <c r="CC19" s="239"/>
      <c r="CD19" s="239"/>
      <c r="CE19" s="239"/>
      <c r="CF19" s="239"/>
      <c r="CG19" s="239"/>
      <c r="CH19" s="239"/>
      <c r="CI19" s="239"/>
      <c r="CJ19" s="239"/>
      <c r="CK19" s="239"/>
      <c r="CL19" s="239"/>
      <c r="CM19" s="239"/>
      <c r="CN19" s="239"/>
      <c r="CO19" s="239"/>
      <c r="CP19" s="239"/>
      <c r="CQ19" s="239"/>
      <c r="CR19" s="239"/>
      <c r="CS19" s="239"/>
      <c r="CT19" s="239"/>
      <c r="CU19" s="239"/>
      <c r="CV19" s="239"/>
      <c r="CW19" s="239"/>
      <c r="CX19" s="239"/>
      <c r="CY19" s="239"/>
      <c r="CZ19" s="239"/>
      <c r="DA19" s="239"/>
      <c r="DB19" s="239"/>
      <c r="DC19" s="239"/>
      <c r="DD19" s="239"/>
      <c r="DE19" s="239"/>
      <c r="DF19" s="239"/>
      <c r="DG19" s="239"/>
      <c r="DH19" s="239"/>
      <c r="DI19" s="239"/>
      <c r="DJ19" s="239"/>
      <c r="DK19" s="239"/>
      <c r="DL19" s="239"/>
      <c r="DM19" s="239"/>
      <c r="DN19" s="239"/>
      <c r="DO19" s="239"/>
      <c r="DP19" s="239"/>
      <c r="DQ19" s="239"/>
      <c r="DR19" s="239"/>
      <c r="DS19" s="239"/>
      <c r="DT19" s="239"/>
      <c r="DU19" s="239"/>
      <c r="DV19" s="239"/>
      <c r="DW19" s="239"/>
      <c r="DX19" s="239"/>
      <c r="DY19" s="239"/>
      <c r="DZ19" s="239"/>
      <c r="EA19" s="239"/>
      <c r="EB19" s="239"/>
      <c r="EC19" s="239"/>
      <c r="ED19" s="239"/>
      <c r="EE19" s="239"/>
      <c r="EF19" s="239"/>
      <c r="EG19" s="239"/>
      <c r="EH19" s="239"/>
      <c r="EI19" s="239"/>
      <c r="EJ19" s="239"/>
      <c r="EK19" s="239"/>
      <c r="EL19" s="239"/>
      <c r="EM19" s="239"/>
      <c r="EN19" s="239"/>
      <c r="EO19" s="239"/>
      <c r="EP19" s="239"/>
      <c r="EQ19" s="239"/>
      <c r="ER19" s="239"/>
      <c r="ES19" s="239"/>
      <c r="ET19" s="239"/>
      <c r="EU19" s="239"/>
      <c r="EV19" s="239"/>
      <c r="EW19" s="239"/>
      <c r="EX19" s="239"/>
      <c r="EY19" s="239"/>
      <c r="EZ19" s="239"/>
      <c r="FA19" s="239"/>
      <c r="FB19" s="239"/>
      <c r="FC19" s="239"/>
      <c r="FD19" s="239"/>
      <c r="FE19" s="239"/>
      <c r="FF19" s="239"/>
      <c r="FG19" s="239"/>
      <c r="FH19" s="239"/>
      <c r="FI19" s="239"/>
      <c r="FJ19" s="239"/>
      <c r="FK19" s="239"/>
      <c r="FL19" s="239"/>
      <c r="FM19" s="239"/>
      <c r="FN19" s="239"/>
      <c r="FO19" s="239"/>
      <c r="FP19" s="239"/>
      <c r="FQ19" s="239"/>
      <c r="FR19" s="239"/>
      <c r="FS19" s="239"/>
      <c r="FT19" s="239"/>
      <c r="FU19" s="239"/>
      <c r="FV19" s="239"/>
      <c r="FW19" s="239"/>
    </row>
    <row r="20" spans="1:179" s="236" customFormat="1" ht="18">
      <c r="A20" s="251">
        <v>0.05</v>
      </c>
      <c r="B20" s="252">
        <v>22</v>
      </c>
      <c r="C20" s="252">
        <v>47</v>
      </c>
      <c r="D20" s="252">
        <v>68</v>
      </c>
      <c r="E20" s="252">
        <v>171</v>
      </c>
      <c r="F20" s="247">
        <v>240</v>
      </c>
      <c r="G20" s="252">
        <v>325</v>
      </c>
      <c r="H20" s="252">
        <v>440</v>
      </c>
      <c r="I20" s="252">
        <v>560</v>
      </c>
      <c r="J20" s="252">
        <v>740</v>
      </c>
      <c r="K20" s="252">
        <v>940</v>
      </c>
      <c r="L20" s="252">
        <v>1200</v>
      </c>
      <c r="M20" s="252">
        <v>1510</v>
      </c>
      <c r="N20" s="252">
        <v>1900</v>
      </c>
      <c r="O20" s="252">
        <v>2350</v>
      </c>
      <c r="P20" s="252">
        <v>3000</v>
      </c>
      <c r="Q20" s="252">
        <v>3800</v>
      </c>
      <c r="R20" s="252">
        <v>5700</v>
      </c>
      <c r="S20" s="252">
        <v>9000</v>
      </c>
      <c r="T20" s="248"/>
      <c r="U20" s="248"/>
      <c r="V20" s="253">
        <v>0.05</v>
      </c>
      <c r="W20" s="254">
        <v>52</v>
      </c>
      <c r="X20" s="254">
        <v>60</v>
      </c>
      <c r="Y20" s="254">
        <v>63</v>
      </c>
      <c r="Z20" s="254">
        <v>86</v>
      </c>
      <c r="AA20" s="254">
        <v>99</v>
      </c>
      <c r="AB20" s="254">
        <v>104</v>
      </c>
      <c r="AC20" s="254">
        <v>123</v>
      </c>
      <c r="AD20" s="254">
        <v>140</v>
      </c>
      <c r="AE20" s="254">
        <v>218</v>
      </c>
      <c r="AF20" s="254">
        <v>240</v>
      </c>
      <c r="AG20" s="254">
        <v>350</v>
      </c>
      <c r="AH20" s="254">
        <v>450</v>
      </c>
      <c r="AI20" s="254">
        <v>570</v>
      </c>
      <c r="AJ20" s="254">
        <v>720</v>
      </c>
      <c r="AK20" s="254">
        <v>840</v>
      </c>
      <c r="AL20" s="254">
        <v>1310</v>
      </c>
      <c r="AN20" s="239"/>
      <c r="AO20" s="239"/>
      <c r="AP20" s="239"/>
      <c r="AQ20" s="239"/>
      <c r="AR20" s="239"/>
      <c r="AS20" s="239"/>
      <c r="AT20" s="239"/>
      <c r="AU20" s="239"/>
      <c r="AV20" s="239"/>
      <c r="AW20" s="239"/>
      <c r="AX20" s="239"/>
      <c r="AY20" s="239"/>
      <c r="AZ20" s="239"/>
      <c r="BA20" s="239"/>
      <c r="BB20" s="239"/>
      <c r="BC20" s="239"/>
      <c r="BD20" s="239"/>
      <c r="BE20" s="239"/>
      <c r="BF20" s="239"/>
      <c r="BG20" s="239"/>
      <c r="BH20" s="239"/>
      <c r="BI20" s="239"/>
      <c r="BJ20" s="239"/>
      <c r="BK20" s="239"/>
      <c r="BL20" s="239"/>
      <c r="BM20" s="239"/>
      <c r="BN20" s="239"/>
      <c r="BO20" s="239"/>
      <c r="BP20" s="239"/>
      <c r="BQ20" s="239"/>
      <c r="BR20" s="239"/>
      <c r="BS20" s="239"/>
      <c r="BT20" s="239"/>
      <c r="BU20" s="239"/>
      <c r="BV20" s="239"/>
      <c r="BW20" s="239"/>
      <c r="BX20" s="239"/>
      <c r="BY20" s="239"/>
      <c r="BZ20" s="239"/>
      <c r="CA20" s="239"/>
      <c r="CB20" s="239"/>
      <c r="CC20" s="239"/>
      <c r="CD20" s="239"/>
      <c r="CE20" s="239"/>
      <c r="CF20" s="239"/>
      <c r="CG20" s="239"/>
      <c r="CH20" s="239"/>
      <c r="CI20" s="239"/>
      <c r="CJ20" s="239"/>
      <c r="CK20" s="239"/>
      <c r="CL20" s="239"/>
      <c r="CM20" s="239"/>
      <c r="CN20" s="239"/>
      <c r="CO20" s="239"/>
      <c r="CP20" s="239"/>
      <c r="CQ20" s="239"/>
      <c r="CR20" s="239"/>
      <c r="CS20" s="239"/>
      <c r="CT20" s="239"/>
      <c r="CU20" s="239"/>
      <c r="CV20" s="239"/>
      <c r="CW20" s="239"/>
      <c r="CX20" s="239"/>
      <c r="CY20" s="239"/>
      <c r="CZ20" s="239"/>
      <c r="DA20" s="239"/>
      <c r="DB20" s="239"/>
      <c r="DC20" s="239"/>
      <c r="DD20" s="239"/>
      <c r="DE20" s="239"/>
      <c r="DF20" s="239"/>
      <c r="DG20" s="239"/>
      <c r="DH20" s="239"/>
      <c r="DI20" s="239"/>
      <c r="DJ20" s="239"/>
      <c r="DK20" s="239"/>
      <c r="DL20" s="239"/>
      <c r="DM20" s="239"/>
      <c r="DN20" s="239"/>
      <c r="DO20" s="239"/>
      <c r="DP20" s="239"/>
      <c r="DQ20" s="239"/>
      <c r="DR20" s="239"/>
      <c r="DS20" s="239"/>
      <c r="DT20" s="239"/>
      <c r="DU20" s="239"/>
      <c r="DV20" s="239"/>
      <c r="DW20" s="239"/>
      <c r="DX20" s="239"/>
      <c r="DY20" s="239"/>
      <c r="DZ20" s="239"/>
      <c r="EA20" s="239"/>
      <c r="EB20" s="239"/>
      <c r="EC20" s="239"/>
      <c r="ED20" s="239"/>
      <c r="EE20" s="239"/>
      <c r="EF20" s="239"/>
      <c r="EG20" s="239"/>
      <c r="EH20" s="239"/>
      <c r="EI20" s="239"/>
      <c r="EJ20" s="239"/>
      <c r="EK20" s="239"/>
      <c r="EL20" s="239"/>
      <c r="EM20" s="239"/>
      <c r="EN20" s="239"/>
      <c r="EO20" s="239"/>
      <c r="EP20" s="239"/>
      <c r="EQ20" s="239"/>
      <c r="ER20" s="239"/>
      <c r="ES20" s="239"/>
      <c r="ET20" s="239"/>
      <c r="EU20" s="239"/>
      <c r="EV20" s="239"/>
      <c r="EW20" s="239"/>
      <c r="EX20" s="239"/>
      <c r="EY20" s="239"/>
      <c r="EZ20" s="239"/>
      <c r="FA20" s="239"/>
      <c r="FB20" s="239"/>
      <c r="FC20" s="239"/>
      <c r="FD20" s="239"/>
      <c r="FE20" s="239"/>
      <c r="FF20" s="239"/>
      <c r="FG20" s="239"/>
      <c r="FH20" s="239"/>
      <c r="FI20" s="239"/>
      <c r="FJ20" s="239"/>
      <c r="FK20" s="239"/>
      <c r="FL20" s="239"/>
      <c r="FM20" s="239"/>
      <c r="FN20" s="239"/>
      <c r="FO20" s="239"/>
      <c r="FP20" s="239"/>
      <c r="FQ20" s="239"/>
      <c r="FR20" s="239"/>
      <c r="FS20" s="239"/>
      <c r="FT20" s="239"/>
      <c r="FU20" s="239"/>
      <c r="FV20" s="239"/>
      <c r="FW20" s="239"/>
    </row>
    <row r="21" spans="1:179" s="236" customFormat="1" ht="18">
      <c r="A21" s="251">
        <v>0.04</v>
      </c>
      <c r="B21" s="252">
        <v>25</v>
      </c>
      <c r="C21" s="252">
        <v>54</v>
      </c>
      <c r="D21" s="252">
        <v>76</v>
      </c>
      <c r="E21" s="252">
        <v>182</v>
      </c>
      <c r="F21" s="247">
        <v>270</v>
      </c>
      <c r="G21" s="252">
        <v>365</v>
      </c>
      <c r="H21" s="252">
        <v>480</v>
      </c>
      <c r="I21" s="252">
        <v>630</v>
      </c>
      <c r="J21" s="252">
        <v>840</v>
      </c>
      <c r="K21" s="252">
        <v>1060</v>
      </c>
      <c r="L21" s="252">
        <v>1350</v>
      </c>
      <c r="M21" s="252">
        <v>1700</v>
      </c>
      <c r="N21" s="252">
        <v>2100</v>
      </c>
      <c r="O21" s="252">
        <v>2700</v>
      </c>
      <c r="P21" s="252">
        <v>3400</v>
      </c>
      <c r="Q21" s="252">
        <v>4300</v>
      </c>
      <c r="R21" s="252">
        <v>6400</v>
      </c>
      <c r="S21" s="252">
        <v>10000</v>
      </c>
      <c r="T21" s="248"/>
      <c r="U21" s="248"/>
      <c r="V21" s="253">
        <v>0.04</v>
      </c>
      <c r="W21" s="254">
        <v>58</v>
      </c>
      <c r="X21" s="254">
        <v>67</v>
      </c>
      <c r="Y21" s="254">
        <v>71</v>
      </c>
      <c r="Z21" s="254">
        <v>97</v>
      </c>
      <c r="AA21" s="254">
        <v>110</v>
      </c>
      <c r="AB21" s="254">
        <v>118</v>
      </c>
      <c r="AC21" s="254">
        <v>140</v>
      </c>
      <c r="AD21" s="254">
        <v>170</v>
      </c>
      <c r="AE21" s="254">
        <v>240</v>
      </c>
      <c r="AF21" s="254">
        <v>265</v>
      </c>
      <c r="AG21" s="254">
        <v>400</v>
      </c>
      <c r="AH21" s="254">
        <v>480</v>
      </c>
      <c r="AI21" s="254">
        <v>630</v>
      </c>
      <c r="AJ21" s="254">
        <v>800</v>
      </c>
      <c r="AK21" s="254">
        <v>960</v>
      </c>
      <c r="AL21" s="254">
        <v>1500</v>
      </c>
      <c r="AN21" s="239"/>
      <c r="AO21" s="239"/>
      <c r="AP21" s="239"/>
      <c r="AQ21" s="239"/>
      <c r="AR21" s="239"/>
      <c r="AS21" s="239"/>
      <c r="AT21" s="239"/>
      <c r="AU21" s="239"/>
      <c r="AV21" s="239"/>
      <c r="AW21" s="239"/>
      <c r="AX21" s="239"/>
      <c r="AY21" s="239"/>
      <c r="AZ21" s="239"/>
      <c r="BA21" s="239"/>
      <c r="BB21" s="239"/>
      <c r="BC21" s="239"/>
      <c r="BD21" s="239"/>
      <c r="BE21" s="239"/>
      <c r="BF21" s="239"/>
      <c r="BG21" s="239"/>
      <c r="BH21" s="239"/>
      <c r="BI21" s="239"/>
      <c r="BJ21" s="239"/>
      <c r="BK21" s="239"/>
      <c r="BL21" s="239"/>
      <c r="BM21" s="239"/>
      <c r="BN21" s="239"/>
      <c r="BO21" s="239"/>
      <c r="BP21" s="239"/>
      <c r="BQ21" s="239"/>
      <c r="BR21" s="239"/>
      <c r="BS21" s="239"/>
      <c r="BT21" s="239"/>
      <c r="BU21" s="239"/>
      <c r="BV21" s="239"/>
      <c r="BW21" s="239"/>
      <c r="BX21" s="239"/>
      <c r="BY21" s="239"/>
      <c r="BZ21" s="239"/>
      <c r="CA21" s="239"/>
      <c r="CB21" s="239"/>
      <c r="CC21" s="239"/>
      <c r="CD21" s="239"/>
      <c r="CE21" s="239"/>
      <c r="CF21" s="239"/>
      <c r="CG21" s="239"/>
      <c r="CH21" s="239"/>
      <c r="CI21" s="239"/>
      <c r="CJ21" s="239"/>
      <c r="CK21" s="239"/>
      <c r="CL21" s="239"/>
      <c r="CM21" s="239"/>
      <c r="CN21" s="239"/>
      <c r="CO21" s="239"/>
      <c r="CP21" s="239"/>
      <c r="CQ21" s="239"/>
      <c r="CR21" s="239"/>
      <c r="CS21" s="239"/>
      <c r="CT21" s="239"/>
      <c r="CU21" s="239"/>
      <c r="CV21" s="239"/>
      <c r="CW21" s="239"/>
      <c r="CX21" s="239"/>
      <c r="CY21" s="239"/>
      <c r="CZ21" s="239"/>
      <c r="DA21" s="239"/>
      <c r="DB21" s="239"/>
      <c r="DC21" s="239"/>
      <c r="DD21" s="239"/>
      <c r="DE21" s="239"/>
      <c r="DF21" s="239"/>
      <c r="DG21" s="239"/>
      <c r="DH21" s="239"/>
      <c r="DI21" s="239"/>
      <c r="DJ21" s="239"/>
      <c r="DK21" s="239"/>
      <c r="DL21" s="239"/>
      <c r="DM21" s="239"/>
      <c r="DN21" s="239"/>
      <c r="DO21" s="239"/>
      <c r="DP21" s="239"/>
      <c r="DQ21" s="239"/>
      <c r="DR21" s="239"/>
      <c r="DS21" s="239"/>
      <c r="DT21" s="239"/>
      <c r="DU21" s="239"/>
      <c r="DV21" s="239"/>
      <c r="DW21" s="239"/>
      <c r="DX21" s="239"/>
      <c r="DY21" s="239"/>
      <c r="DZ21" s="239"/>
      <c r="EA21" s="239"/>
      <c r="EB21" s="239"/>
      <c r="EC21" s="239"/>
      <c r="ED21" s="239"/>
      <c r="EE21" s="239"/>
      <c r="EF21" s="239"/>
      <c r="EG21" s="239"/>
      <c r="EH21" s="239"/>
      <c r="EI21" s="239"/>
      <c r="EJ21" s="239"/>
      <c r="EK21" s="239"/>
      <c r="EL21" s="239"/>
      <c r="EM21" s="239"/>
      <c r="EN21" s="239"/>
      <c r="EO21" s="239"/>
      <c r="EP21" s="239"/>
      <c r="EQ21" s="239"/>
      <c r="ER21" s="239"/>
      <c r="ES21" s="239"/>
      <c r="ET21" s="239"/>
      <c r="EU21" s="239"/>
      <c r="EV21" s="239"/>
      <c r="EW21" s="239"/>
      <c r="EX21" s="239"/>
      <c r="EY21" s="239"/>
      <c r="EZ21" s="239"/>
      <c r="FA21" s="239"/>
      <c r="FB21" s="239"/>
      <c r="FC21" s="239"/>
      <c r="FD21" s="239"/>
      <c r="FE21" s="239"/>
      <c r="FF21" s="239"/>
      <c r="FG21" s="239"/>
      <c r="FH21" s="239"/>
      <c r="FI21" s="239"/>
      <c r="FJ21" s="239"/>
      <c r="FK21" s="239"/>
      <c r="FL21" s="239"/>
      <c r="FM21" s="239"/>
      <c r="FN21" s="239"/>
      <c r="FO21" s="239"/>
      <c r="FP21" s="239"/>
      <c r="FQ21" s="239"/>
      <c r="FR21" s="239"/>
      <c r="FS21" s="239"/>
      <c r="FT21" s="239"/>
      <c r="FU21" s="239"/>
      <c r="FV21" s="239"/>
      <c r="FW21" s="239"/>
    </row>
    <row r="22" spans="1:179" s="236" customFormat="1" ht="18">
      <c r="A22" s="244" t="s">
        <v>893</v>
      </c>
      <c r="B22" s="252"/>
      <c r="C22" s="252"/>
      <c r="D22" s="252"/>
      <c r="E22" s="252"/>
      <c r="F22" s="252"/>
      <c r="G22" s="252"/>
      <c r="H22" s="252"/>
      <c r="I22" s="252"/>
      <c r="J22" s="252"/>
      <c r="K22" s="252"/>
      <c r="L22" s="252"/>
      <c r="M22" s="252"/>
      <c r="N22" s="252"/>
      <c r="O22" s="252"/>
      <c r="P22" s="252"/>
      <c r="Q22" s="252"/>
      <c r="R22" s="252"/>
      <c r="S22" s="247"/>
      <c r="T22" s="248"/>
      <c r="U22" s="248"/>
      <c r="V22" s="246" t="s">
        <v>893</v>
      </c>
      <c r="W22" s="254"/>
      <c r="X22" s="254"/>
      <c r="Y22" s="254"/>
      <c r="Z22" s="254"/>
      <c r="AA22" s="254"/>
      <c r="AB22" s="254"/>
      <c r="AC22" s="254"/>
      <c r="AD22" s="254"/>
      <c r="AE22" s="254"/>
      <c r="AF22" s="254"/>
      <c r="AG22" s="254"/>
      <c r="AH22" s="254"/>
      <c r="AI22" s="254"/>
      <c r="AJ22" s="254"/>
      <c r="AK22" s="254" t="s">
        <v>894</v>
      </c>
      <c r="AL22" s="254"/>
      <c r="AN22" s="239"/>
      <c r="AO22" s="239"/>
      <c r="AP22" s="239"/>
      <c r="AQ22" s="239"/>
      <c r="AR22" s="239"/>
      <c r="AS22" s="239"/>
      <c r="AT22" s="239"/>
      <c r="AU22" s="239"/>
      <c r="AV22" s="239"/>
      <c r="AW22" s="239"/>
      <c r="AX22" s="239"/>
      <c r="AY22" s="239"/>
      <c r="AZ22" s="239"/>
      <c r="BA22" s="239"/>
      <c r="BB22" s="239"/>
      <c r="BC22" s="239"/>
      <c r="BD22" s="239"/>
      <c r="BE22" s="239"/>
      <c r="BF22" s="239"/>
      <c r="BG22" s="239"/>
      <c r="BH22" s="239"/>
      <c r="BI22" s="239"/>
      <c r="BJ22" s="239"/>
      <c r="BK22" s="239"/>
      <c r="BL22" s="239"/>
      <c r="BM22" s="239"/>
      <c r="BN22" s="239"/>
      <c r="BO22" s="239"/>
      <c r="BP22" s="239"/>
      <c r="BQ22" s="239"/>
      <c r="BR22" s="239"/>
      <c r="BS22" s="239"/>
      <c r="BT22" s="239"/>
      <c r="BU22" s="239"/>
      <c r="BV22" s="239"/>
      <c r="BW22" s="239"/>
      <c r="BX22" s="239"/>
      <c r="BY22" s="239"/>
      <c r="BZ22" s="239"/>
      <c r="CA22" s="239"/>
      <c r="CB22" s="239"/>
      <c r="CC22" s="239"/>
      <c r="CD22" s="239"/>
      <c r="CE22" s="239"/>
      <c r="CF22" s="239"/>
      <c r="CG22" s="239"/>
      <c r="CH22" s="239"/>
      <c r="CI22" s="239"/>
      <c r="CJ22" s="239"/>
      <c r="CK22" s="239"/>
      <c r="CL22" s="239"/>
      <c r="CM22" s="239"/>
      <c r="CN22" s="239"/>
      <c r="CO22" s="239"/>
      <c r="CP22" s="239"/>
      <c r="CQ22" s="239"/>
      <c r="CR22" s="239"/>
      <c r="CS22" s="239"/>
      <c r="CT22" s="239"/>
      <c r="CU22" s="239"/>
      <c r="CV22" s="239"/>
      <c r="CW22" s="239"/>
      <c r="CX22" s="239"/>
      <c r="CY22" s="239"/>
      <c r="CZ22" s="239"/>
      <c r="DA22" s="239"/>
      <c r="DB22" s="239"/>
      <c r="DC22" s="239"/>
      <c r="DD22" s="239"/>
      <c r="DE22" s="239"/>
      <c r="DF22" s="239"/>
      <c r="DG22" s="239"/>
      <c r="DH22" s="239"/>
      <c r="DI22" s="239"/>
      <c r="DJ22" s="239"/>
      <c r="DK22" s="239"/>
      <c r="DL22" s="239"/>
      <c r="DM22" s="239"/>
      <c r="DN22" s="239"/>
      <c r="DO22" s="239"/>
      <c r="DP22" s="239"/>
      <c r="DQ22" s="239"/>
      <c r="DR22" s="239"/>
      <c r="DS22" s="239"/>
      <c r="DT22" s="239"/>
      <c r="DU22" s="239"/>
      <c r="DV22" s="239"/>
      <c r="DW22" s="239"/>
      <c r="DX22" s="239"/>
      <c r="DY22" s="239"/>
      <c r="DZ22" s="239"/>
      <c r="EA22" s="239"/>
      <c r="EB22" s="239"/>
      <c r="EC22" s="239"/>
      <c r="ED22" s="239"/>
      <c r="EE22" s="239"/>
      <c r="EF22" s="239"/>
      <c r="EG22" s="239"/>
      <c r="EH22" s="239"/>
      <c r="EI22" s="239"/>
      <c r="EJ22" s="239"/>
      <c r="EK22" s="239"/>
      <c r="EL22" s="239"/>
      <c r="EM22" s="239"/>
      <c r="EN22" s="239"/>
      <c r="EO22" s="239"/>
      <c r="EP22" s="239"/>
      <c r="EQ22" s="239"/>
      <c r="ER22" s="239"/>
      <c r="ES22" s="239"/>
      <c r="ET22" s="239"/>
      <c r="EU22" s="239"/>
      <c r="EV22" s="239"/>
      <c r="EW22" s="239"/>
      <c r="EX22" s="239"/>
      <c r="EY22" s="239"/>
      <c r="EZ22" s="239"/>
      <c r="FA22" s="239"/>
      <c r="FB22" s="239"/>
      <c r="FC22" s="239"/>
      <c r="FD22" s="239"/>
      <c r="FE22" s="239"/>
      <c r="FF22" s="239"/>
      <c r="FG22" s="239"/>
      <c r="FH22" s="239"/>
      <c r="FI22" s="239"/>
      <c r="FJ22" s="239"/>
      <c r="FK22" s="239"/>
      <c r="FL22" s="239"/>
      <c r="FM22" s="239"/>
      <c r="FN22" s="239"/>
      <c r="FO22" s="239"/>
      <c r="FP22" s="239"/>
      <c r="FQ22" s="239"/>
      <c r="FR22" s="239"/>
      <c r="FS22" s="239"/>
      <c r="FT22" s="239"/>
      <c r="FU22" s="239"/>
      <c r="FV22" s="239"/>
      <c r="FW22" s="239"/>
    </row>
    <row r="23" spans="1:179" s="236" customFormat="1" ht="23.25">
      <c r="A23" s="235" t="s">
        <v>895</v>
      </c>
      <c r="B23" s="248"/>
      <c r="C23" s="248"/>
      <c r="D23" s="248"/>
      <c r="E23" s="248"/>
      <c r="F23" s="248"/>
      <c r="G23" s="248"/>
      <c r="H23" s="248"/>
      <c r="I23" s="248"/>
      <c r="J23" s="248"/>
      <c r="K23" s="248"/>
      <c r="L23" s="248"/>
      <c r="M23" s="248"/>
      <c r="N23" s="248"/>
      <c r="O23" s="248"/>
      <c r="P23" s="248"/>
      <c r="Q23" s="248"/>
      <c r="R23" s="248"/>
      <c r="S23" s="248"/>
      <c r="T23" s="248"/>
      <c r="U23" s="248"/>
      <c r="V23" s="256" t="s">
        <v>896</v>
      </c>
      <c r="W23" s="257"/>
      <c r="X23" s="257"/>
      <c r="Y23" s="257"/>
      <c r="Z23" s="257"/>
      <c r="AA23" s="257"/>
      <c r="AB23" s="257"/>
      <c r="AC23" s="257"/>
      <c r="AD23" s="257"/>
      <c r="AE23" s="257"/>
      <c r="AF23" s="257"/>
      <c r="AG23" s="257"/>
      <c r="AH23" s="257"/>
      <c r="AI23" s="257"/>
      <c r="AJ23" s="257"/>
      <c r="AK23" s="257"/>
      <c r="AL23" s="257"/>
      <c r="AN23" s="239"/>
      <c r="AO23" s="239"/>
      <c r="AP23" s="239"/>
      <c r="AQ23" s="239"/>
      <c r="AR23" s="239"/>
      <c r="AS23" s="239"/>
      <c r="AT23" s="239"/>
      <c r="AU23" s="239"/>
      <c r="AV23" s="239"/>
      <c r="AW23" s="239"/>
      <c r="AX23" s="239"/>
      <c r="AY23" s="239"/>
      <c r="AZ23" s="239"/>
      <c r="BA23" s="239"/>
      <c r="BB23" s="239"/>
      <c r="BC23" s="239"/>
      <c r="BD23" s="239"/>
      <c r="BE23" s="239"/>
      <c r="BF23" s="239"/>
      <c r="BG23" s="239"/>
      <c r="BH23" s="239"/>
      <c r="BI23" s="239"/>
      <c r="BJ23" s="239"/>
      <c r="BK23" s="239"/>
      <c r="BL23" s="239"/>
      <c r="BM23" s="239"/>
      <c r="BN23" s="239"/>
      <c r="BO23" s="239"/>
      <c r="BP23" s="239"/>
      <c r="BQ23" s="239"/>
      <c r="BR23" s="239"/>
      <c r="BS23" s="239"/>
      <c r="BT23" s="239"/>
      <c r="BU23" s="239"/>
      <c r="BV23" s="239"/>
      <c r="BW23" s="239"/>
      <c r="BX23" s="239"/>
      <c r="BY23" s="239"/>
      <c r="BZ23" s="239"/>
      <c r="CA23" s="239"/>
      <c r="CB23" s="239"/>
      <c r="CC23" s="239"/>
      <c r="CD23" s="239"/>
      <c r="CE23" s="239"/>
      <c r="CF23" s="239"/>
      <c r="CG23" s="239"/>
      <c r="CH23" s="239"/>
      <c r="CI23" s="239"/>
      <c r="CJ23" s="239"/>
      <c r="CK23" s="239"/>
      <c r="CL23" s="239"/>
      <c r="CM23" s="239"/>
      <c r="CN23" s="239"/>
      <c r="CO23" s="239"/>
      <c r="CP23" s="239"/>
      <c r="CQ23" s="239"/>
      <c r="CR23" s="239"/>
      <c r="CS23" s="239"/>
      <c r="CT23" s="239"/>
      <c r="CU23" s="239"/>
      <c r="CV23" s="239"/>
      <c r="CW23" s="239"/>
      <c r="CX23" s="239"/>
      <c r="CY23" s="239"/>
      <c r="CZ23" s="239"/>
      <c r="DA23" s="239"/>
      <c r="DB23" s="239"/>
      <c r="DC23" s="239"/>
      <c r="DD23" s="239"/>
      <c r="DE23" s="239"/>
      <c r="DF23" s="239"/>
      <c r="DG23" s="239"/>
      <c r="DH23" s="239"/>
      <c r="DI23" s="239"/>
      <c r="DJ23" s="239"/>
      <c r="DK23" s="239"/>
      <c r="DL23" s="239"/>
      <c r="DM23" s="239"/>
      <c r="DN23" s="239"/>
      <c r="DO23" s="239"/>
      <c r="DP23" s="239"/>
      <c r="DQ23" s="239"/>
      <c r="DR23" s="239"/>
      <c r="DS23" s="239"/>
      <c r="DT23" s="239"/>
      <c r="DU23" s="239"/>
      <c r="DV23" s="239"/>
      <c r="DW23" s="239"/>
      <c r="DX23" s="239"/>
      <c r="DY23" s="239"/>
      <c r="DZ23" s="239"/>
      <c r="EA23" s="239"/>
      <c r="EB23" s="239"/>
      <c r="EC23" s="239"/>
      <c r="ED23" s="239"/>
      <c r="EE23" s="239"/>
      <c r="EF23" s="239"/>
      <c r="EG23" s="239"/>
      <c r="EH23" s="239"/>
      <c r="EI23" s="239"/>
      <c r="EJ23" s="239"/>
      <c r="EK23" s="239"/>
      <c r="EL23" s="239"/>
      <c r="EM23" s="239"/>
      <c r="EN23" s="239"/>
      <c r="EO23" s="239"/>
      <c r="EP23" s="239"/>
      <c r="EQ23" s="239"/>
      <c r="ER23" s="239"/>
      <c r="ES23" s="239"/>
      <c r="ET23" s="239"/>
      <c r="EU23" s="239"/>
      <c r="EV23" s="239"/>
      <c r="EW23" s="239"/>
      <c r="EX23" s="239"/>
      <c r="EY23" s="239"/>
      <c r="EZ23" s="239"/>
      <c r="FA23" s="239"/>
      <c r="FB23" s="239"/>
      <c r="FC23" s="239"/>
      <c r="FD23" s="239"/>
      <c r="FE23" s="239"/>
      <c r="FF23" s="239"/>
      <c r="FG23" s="239"/>
      <c r="FH23" s="239"/>
      <c r="FI23" s="239"/>
      <c r="FJ23" s="239"/>
      <c r="FK23" s="239"/>
      <c r="FL23" s="239"/>
      <c r="FM23" s="239"/>
      <c r="FN23" s="239"/>
      <c r="FO23" s="239"/>
      <c r="FP23" s="239"/>
      <c r="FQ23" s="239"/>
      <c r="FR23" s="239"/>
      <c r="FS23" s="239"/>
      <c r="FT23" s="239"/>
      <c r="FU23" s="239"/>
      <c r="FV23" s="239"/>
      <c r="FW23" s="239"/>
    </row>
    <row r="24" spans="1:179" s="236" customFormat="1" ht="18">
      <c r="B24" s="240"/>
      <c r="C24" s="240"/>
      <c r="T24" s="248"/>
      <c r="U24" s="248"/>
      <c r="V24" s="241"/>
      <c r="W24" s="242"/>
      <c r="X24" s="242"/>
      <c r="Y24" s="241"/>
      <c r="Z24" s="241"/>
      <c r="AA24" s="241"/>
      <c r="AB24" s="241"/>
      <c r="AC24" s="241"/>
      <c r="AD24" s="241"/>
      <c r="AE24" s="241"/>
      <c r="AF24" s="241"/>
      <c r="AG24" s="241"/>
      <c r="AH24" s="241"/>
      <c r="AI24" s="241"/>
      <c r="AJ24" s="241"/>
      <c r="AK24" s="241"/>
      <c r="AL24" s="241"/>
      <c r="AN24" s="239"/>
      <c r="AO24" s="239"/>
      <c r="AP24" s="239"/>
      <c r="AQ24" s="239"/>
      <c r="AR24" s="239"/>
      <c r="AS24" s="239"/>
      <c r="AT24" s="239"/>
      <c r="AU24" s="239"/>
      <c r="AV24" s="239"/>
      <c r="AW24" s="239"/>
      <c r="AX24" s="239"/>
      <c r="AY24" s="239"/>
      <c r="AZ24" s="239"/>
      <c r="BA24" s="239"/>
      <c r="BB24" s="239"/>
      <c r="BC24" s="239"/>
      <c r="BD24" s="239"/>
      <c r="BE24" s="239"/>
      <c r="BF24" s="239"/>
      <c r="BG24" s="239"/>
      <c r="BH24" s="239"/>
      <c r="BI24" s="239"/>
      <c r="BJ24" s="239"/>
      <c r="BK24" s="239"/>
      <c r="BL24" s="239"/>
      <c r="BM24" s="239"/>
      <c r="BN24" s="239"/>
      <c r="BO24" s="239"/>
      <c r="BP24" s="239"/>
      <c r="BQ24" s="239"/>
      <c r="BR24" s="239"/>
      <c r="BS24" s="239"/>
      <c r="BT24" s="239"/>
      <c r="BU24" s="239"/>
      <c r="BV24" s="239"/>
      <c r="BW24" s="239"/>
      <c r="BX24" s="239"/>
      <c r="BY24" s="239"/>
      <c r="BZ24" s="239"/>
      <c r="CA24" s="239"/>
      <c r="CB24" s="239"/>
      <c r="CC24" s="239"/>
      <c r="CD24" s="239"/>
      <c r="CE24" s="239"/>
      <c r="CF24" s="239"/>
      <c r="CG24" s="239"/>
      <c r="CH24" s="239"/>
      <c r="CI24" s="239"/>
      <c r="CJ24" s="239"/>
      <c r="CK24" s="239"/>
      <c r="CL24" s="239"/>
      <c r="CM24" s="239"/>
      <c r="CN24" s="239"/>
      <c r="CO24" s="239"/>
      <c r="CP24" s="239"/>
      <c r="CQ24" s="239"/>
      <c r="CR24" s="239"/>
      <c r="CS24" s="239"/>
      <c r="CT24" s="239"/>
      <c r="CU24" s="239"/>
      <c r="CV24" s="239"/>
      <c r="CW24" s="239"/>
      <c r="CX24" s="239"/>
      <c r="CY24" s="239"/>
      <c r="CZ24" s="239"/>
      <c r="DA24" s="239"/>
      <c r="DB24" s="239"/>
      <c r="DC24" s="239"/>
      <c r="DD24" s="239"/>
      <c r="DE24" s="239"/>
      <c r="DF24" s="239"/>
      <c r="DG24" s="239"/>
      <c r="DH24" s="239"/>
      <c r="DI24" s="239"/>
      <c r="DJ24" s="239"/>
      <c r="DK24" s="239"/>
      <c r="DL24" s="239"/>
      <c r="DM24" s="239"/>
      <c r="DN24" s="239"/>
      <c r="DO24" s="239"/>
      <c r="DP24" s="239"/>
      <c r="DQ24" s="239"/>
      <c r="DR24" s="239"/>
      <c r="DS24" s="239"/>
      <c r="DT24" s="239"/>
      <c r="DU24" s="239"/>
      <c r="DV24" s="239"/>
      <c r="DW24" s="239"/>
      <c r="DX24" s="239"/>
      <c r="DY24" s="239"/>
      <c r="DZ24" s="239"/>
      <c r="EA24" s="239"/>
      <c r="EB24" s="239"/>
      <c r="EC24" s="239"/>
      <c r="ED24" s="239"/>
      <c r="EE24" s="239"/>
      <c r="EF24" s="239"/>
      <c r="EG24" s="239"/>
      <c r="EH24" s="239"/>
      <c r="EI24" s="239"/>
      <c r="EJ24" s="239"/>
      <c r="EK24" s="239"/>
      <c r="EL24" s="239"/>
      <c r="EM24" s="239"/>
      <c r="EN24" s="239"/>
      <c r="EO24" s="239"/>
      <c r="EP24" s="239"/>
      <c r="EQ24" s="239"/>
      <c r="ER24" s="239"/>
      <c r="ES24" s="239"/>
      <c r="ET24" s="239"/>
      <c r="EU24" s="239"/>
      <c r="EV24" s="239"/>
      <c r="EW24" s="239"/>
      <c r="EX24" s="239"/>
      <c r="EY24" s="239"/>
      <c r="EZ24" s="239"/>
      <c r="FA24" s="239"/>
      <c r="FB24" s="239"/>
      <c r="FC24" s="239"/>
      <c r="FD24" s="239"/>
      <c r="FE24" s="239"/>
      <c r="FF24" s="239"/>
      <c r="FG24" s="239"/>
      <c r="FH24" s="239"/>
      <c r="FI24" s="239"/>
      <c r="FJ24" s="239"/>
      <c r="FK24" s="239"/>
      <c r="FL24" s="239"/>
      <c r="FM24" s="239"/>
      <c r="FN24" s="239"/>
      <c r="FO24" s="239"/>
      <c r="FP24" s="239"/>
      <c r="FQ24" s="239"/>
      <c r="FR24" s="239"/>
      <c r="FS24" s="239"/>
      <c r="FT24" s="239"/>
      <c r="FU24" s="239"/>
      <c r="FV24" s="239"/>
      <c r="FW24" s="239"/>
    </row>
    <row r="25" spans="1:179" s="236" customFormat="1" ht="18">
      <c r="A25" s="243"/>
      <c r="F25" s="244"/>
      <c r="G25" s="244" t="s">
        <v>872</v>
      </c>
      <c r="H25" s="244"/>
      <c r="I25" s="244"/>
      <c r="J25" s="244"/>
      <c r="K25" s="244"/>
      <c r="L25" s="244"/>
      <c r="M25" s="244"/>
      <c r="N25" s="244"/>
      <c r="O25" s="244"/>
      <c r="T25" s="248"/>
      <c r="U25" s="248"/>
      <c r="V25" s="245"/>
      <c r="W25" s="241"/>
      <c r="X25" s="241"/>
      <c r="Y25" s="241"/>
      <c r="Z25" s="241"/>
      <c r="AA25" s="241"/>
      <c r="AB25" s="246" t="s">
        <v>872</v>
      </c>
      <c r="AC25" s="246"/>
      <c r="AD25" s="246"/>
      <c r="AE25" s="246"/>
      <c r="AF25" s="246"/>
      <c r="AG25" s="246"/>
      <c r="AH25" s="246"/>
      <c r="AI25" s="246"/>
      <c r="AJ25" s="246"/>
      <c r="AK25" s="241"/>
      <c r="AL25" s="241"/>
      <c r="AN25" s="239"/>
      <c r="AO25" s="239"/>
      <c r="AP25" s="239"/>
      <c r="AQ25" s="239"/>
      <c r="AR25" s="239"/>
      <c r="AS25" s="239"/>
      <c r="AT25" s="239"/>
      <c r="AU25" s="239"/>
      <c r="AV25" s="239"/>
      <c r="AW25" s="239"/>
      <c r="AX25" s="239"/>
      <c r="AY25" s="239"/>
      <c r="AZ25" s="239"/>
      <c r="BA25" s="239"/>
      <c r="BB25" s="239"/>
      <c r="BC25" s="239"/>
      <c r="BD25" s="239"/>
      <c r="BE25" s="239"/>
      <c r="BF25" s="239"/>
      <c r="BG25" s="239"/>
      <c r="BH25" s="239"/>
      <c r="BI25" s="239"/>
      <c r="BJ25" s="239"/>
      <c r="BK25" s="239"/>
      <c r="BL25" s="239"/>
      <c r="BM25" s="239"/>
      <c r="BN25" s="239"/>
      <c r="BO25" s="239"/>
      <c r="BP25" s="239"/>
      <c r="BQ25" s="239"/>
      <c r="BR25" s="239"/>
      <c r="BS25" s="239"/>
      <c r="BT25" s="239"/>
      <c r="BU25" s="239"/>
      <c r="BV25" s="239"/>
      <c r="BW25" s="239"/>
      <c r="BX25" s="239"/>
      <c r="BY25" s="239"/>
      <c r="BZ25" s="239"/>
      <c r="CA25" s="239"/>
      <c r="CB25" s="239"/>
      <c r="CC25" s="239"/>
      <c r="CD25" s="239"/>
      <c r="CE25" s="239"/>
      <c r="CF25" s="239"/>
      <c r="CG25" s="239"/>
      <c r="CH25" s="239"/>
      <c r="CI25" s="239"/>
      <c r="CJ25" s="239"/>
      <c r="CK25" s="239"/>
      <c r="CL25" s="239"/>
      <c r="CM25" s="239"/>
      <c r="CN25" s="239"/>
      <c r="CO25" s="239"/>
      <c r="CP25" s="239"/>
      <c r="CQ25" s="239"/>
      <c r="CR25" s="239"/>
      <c r="CS25" s="239"/>
      <c r="CT25" s="239"/>
      <c r="CU25" s="239"/>
      <c r="CV25" s="239"/>
      <c r="CW25" s="239"/>
      <c r="CX25" s="239"/>
      <c r="CY25" s="239"/>
      <c r="CZ25" s="239"/>
      <c r="DA25" s="239"/>
      <c r="DB25" s="239"/>
      <c r="DC25" s="239"/>
      <c r="DD25" s="239"/>
      <c r="DE25" s="239"/>
      <c r="DF25" s="239"/>
      <c r="DG25" s="239"/>
      <c r="DH25" s="239"/>
      <c r="DI25" s="239"/>
      <c r="DJ25" s="239"/>
      <c r="DK25" s="239"/>
      <c r="DL25" s="239"/>
      <c r="DM25" s="239"/>
      <c r="DN25" s="239"/>
      <c r="DO25" s="239"/>
      <c r="DP25" s="239"/>
      <c r="DQ25" s="239"/>
      <c r="DR25" s="239"/>
      <c r="DS25" s="239"/>
      <c r="DT25" s="239"/>
      <c r="DU25" s="239"/>
      <c r="DV25" s="239"/>
      <c r="DW25" s="239"/>
      <c r="DX25" s="239"/>
      <c r="DY25" s="239"/>
      <c r="DZ25" s="239"/>
      <c r="EA25" s="239"/>
      <c r="EB25" s="239"/>
      <c r="EC25" s="239"/>
      <c r="ED25" s="239"/>
      <c r="EE25" s="239"/>
      <c r="EF25" s="239"/>
      <c r="EG25" s="239"/>
      <c r="EH25" s="239"/>
      <c r="EI25" s="239"/>
      <c r="EJ25" s="239"/>
      <c r="EK25" s="239"/>
      <c r="EL25" s="239"/>
      <c r="EM25" s="239"/>
      <c r="EN25" s="239"/>
      <c r="EO25" s="239"/>
      <c r="EP25" s="239"/>
      <c r="EQ25" s="239"/>
      <c r="ER25" s="239"/>
      <c r="ES25" s="239"/>
      <c r="ET25" s="239"/>
      <c r="EU25" s="239"/>
      <c r="EV25" s="239"/>
      <c r="EW25" s="239"/>
      <c r="EX25" s="239"/>
      <c r="EY25" s="239"/>
      <c r="EZ25" s="239"/>
      <c r="FA25" s="239"/>
      <c r="FB25" s="239"/>
      <c r="FC25" s="239"/>
      <c r="FD25" s="239"/>
      <c r="FE25" s="239"/>
      <c r="FF25" s="239"/>
      <c r="FG25" s="239"/>
      <c r="FH25" s="239"/>
      <c r="FI25" s="239"/>
      <c r="FJ25" s="239"/>
      <c r="FK25" s="239"/>
      <c r="FL25" s="239"/>
      <c r="FM25" s="239"/>
      <c r="FN25" s="239"/>
      <c r="FO25" s="239"/>
      <c r="FP25" s="239"/>
      <c r="FQ25" s="239"/>
      <c r="FR25" s="239"/>
      <c r="FS25" s="239"/>
      <c r="FT25" s="239"/>
      <c r="FU25" s="239"/>
      <c r="FV25" s="239"/>
      <c r="FW25" s="239"/>
    </row>
    <row r="26" spans="1:179" s="236" customFormat="1" ht="18">
      <c r="A26" s="247" t="s">
        <v>892</v>
      </c>
      <c r="B26" s="248" t="s">
        <v>874</v>
      </c>
      <c r="C26" s="248" t="s">
        <v>875</v>
      </c>
      <c r="D26" s="248" t="s">
        <v>876</v>
      </c>
      <c r="E26" s="248" t="s">
        <v>877</v>
      </c>
      <c r="F26" s="248" t="s">
        <v>878</v>
      </c>
      <c r="G26" s="248" t="s">
        <v>879</v>
      </c>
      <c r="H26" s="248" t="s">
        <v>880</v>
      </c>
      <c r="I26" s="248" t="s">
        <v>881</v>
      </c>
      <c r="J26" s="248" t="s">
        <v>882</v>
      </c>
      <c r="K26" s="248" t="s">
        <v>883</v>
      </c>
      <c r="L26" s="248" t="s">
        <v>884</v>
      </c>
      <c r="M26" s="248" t="s">
        <v>885</v>
      </c>
      <c r="N26" s="248" t="s">
        <v>886</v>
      </c>
      <c r="O26" s="248" t="s">
        <v>887</v>
      </c>
      <c r="P26" s="248" t="s">
        <v>888</v>
      </c>
      <c r="Q26" s="248" t="s">
        <v>889</v>
      </c>
      <c r="R26" s="248" t="s">
        <v>890</v>
      </c>
      <c r="S26" s="248" t="s">
        <v>891</v>
      </c>
      <c r="T26" s="248"/>
      <c r="U26" s="248"/>
      <c r="V26" s="249" t="s">
        <v>892</v>
      </c>
      <c r="W26" s="257">
        <v>0.4</v>
      </c>
      <c r="X26" s="257">
        <v>0.6</v>
      </c>
      <c r="Y26" s="257">
        <v>0.7</v>
      </c>
      <c r="Z26" s="257">
        <v>1</v>
      </c>
      <c r="AA26" s="257">
        <v>1.3</v>
      </c>
      <c r="AB26" s="257">
        <v>1.4</v>
      </c>
      <c r="AC26" s="257">
        <v>1.6</v>
      </c>
      <c r="AD26" s="257">
        <v>2.1</v>
      </c>
      <c r="AE26" s="257">
        <v>3.1</v>
      </c>
      <c r="AF26" s="257">
        <v>3.5</v>
      </c>
      <c r="AG26" s="257">
        <v>5.2</v>
      </c>
      <c r="AH26" s="257">
        <v>6.3</v>
      </c>
      <c r="AI26" s="257">
        <v>7.8</v>
      </c>
      <c r="AJ26" s="257">
        <v>10.4</v>
      </c>
      <c r="AK26" s="257">
        <v>14</v>
      </c>
      <c r="AL26" s="257">
        <v>21</v>
      </c>
      <c r="AN26" s="239"/>
      <c r="AO26" s="239"/>
      <c r="AP26" s="239"/>
      <c r="AQ26" s="239"/>
      <c r="AR26" s="239"/>
      <c r="AS26" s="239"/>
      <c r="AT26" s="239"/>
      <c r="AU26" s="239"/>
      <c r="AV26" s="239"/>
      <c r="AW26" s="239"/>
      <c r="AX26" s="239"/>
      <c r="AY26" s="239"/>
      <c r="AZ26" s="239"/>
      <c r="BA26" s="239"/>
      <c r="BB26" s="239"/>
      <c r="BC26" s="239"/>
      <c r="BD26" s="239"/>
      <c r="BE26" s="239"/>
      <c r="BF26" s="239"/>
      <c r="BG26" s="239"/>
      <c r="BH26" s="239"/>
      <c r="BI26" s="239"/>
      <c r="BJ26" s="239"/>
      <c r="BK26" s="239"/>
      <c r="BL26" s="239"/>
      <c r="BM26" s="239"/>
      <c r="BN26" s="239"/>
      <c r="BO26" s="239"/>
      <c r="BP26" s="239"/>
      <c r="BQ26" s="239"/>
      <c r="BR26" s="239"/>
      <c r="BS26" s="239"/>
      <c r="BT26" s="239"/>
      <c r="BU26" s="239"/>
      <c r="BV26" s="239"/>
      <c r="BW26" s="239"/>
      <c r="BX26" s="239"/>
      <c r="BY26" s="239"/>
      <c r="BZ26" s="239"/>
      <c r="CA26" s="239"/>
      <c r="CB26" s="239"/>
      <c r="CC26" s="239"/>
      <c r="CD26" s="239"/>
      <c r="CE26" s="239"/>
      <c r="CF26" s="239"/>
      <c r="CG26" s="239"/>
      <c r="CH26" s="239"/>
      <c r="CI26" s="239"/>
      <c r="CJ26" s="239"/>
      <c r="CK26" s="239"/>
      <c r="CL26" s="239"/>
      <c r="CM26" s="239"/>
      <c r="CN26" s="239"/>
      <c r="CO26" s="239"/>
      <c r="CP26" s="239"/>
      <c r="CQ26" s="239"/>
      <c r="CR26" s="239"/>
      <c r="CS26" s="239"/>
      <c r="CT26" s="239"/>
      <c r="CU26" s="239"/>
      <c r="CV26" s="239"/>
      <c r="CW26" s="239"/>
      <c r="CX26" s="239"/>
      <c r="CY26" s="239"/>
      <c r="CZ26" s="239"/>
      <c r="DA26" s="239"/>
      <c r="DB26" s="239"/>
      <c r="DC26" s="239"/>
      <c r="DD26" s="239"/>
      <c r="DE26" s="239"/>
      <c r="DF26" s="239"/>
      <c r="DG26" s="239"/>
      <c r="DH26" s="239"/>
      <c r="DI26" s="239"/>
      <c r="DJ26" s="239"/>
      <c r="DK26" s="239"/>
      <c r="DL26" s="239"/>
      <c r="DM26" s="239"/>
      <c r="DN26" s="239"/>
      <c r="DO26" s="239"/>
      <c r="DP26" s="239"/>
      <c r="DQ26" s="239"/>
      <c r="DR26" s="239"/>
      <c r="DS26" s="239"/>
      <c r="DT26" s="239"/>
      <c r="DU26" s="239"/>
      <c r="DV26" s="239"/>
      <c r="DW26" s="239"/>
      <c r="DX26" s="239"/>
      <c r="DY26" s="239"/>
      <c r="DZ26" s="239"/>
      <c r="EA26" s="239"/>
      <c r="EB26" s="239"/>
      <c r="EC26" s="239"/>
      <c r="ED26" s="239"/>
      <c r="EE26" s="239"/>
      <c r="EF26" s="239"/>
      <c r="EG26" s="239"/>
      <c r="EH26" s="239"/>
      <c r="EI26" s="239"/>
      <c r="EJ26" s="239"/>
      <c r="EK26" s="239"/>
      <c r="EL26" s="239"/>
      <c r="EM26" s="239"/>
      <c r="EN26" s="239"/>
      <c r="EO26" s="239"/>
      <c r="EP26" s="239"/>
      <c r="EQ26" s="239"/>
      <c r="ER26" s="239"/>
      <c r="ES26" s="239"/>
      <c r="ET26" s="239"/>
      <c r="EU26" s="239"/>
      <c r="EV26" s="239"/>
      <c r="EW26" s="239"/>
      <c r="EX26" s="239"/>
      <c r="EY26" s="239"/>
      <c r="EZ26" s="239"/>
      <c r="FA26" s="239"/>
      <c r="FB26" s="239"/>
      <c r="FC26" s="239"/>
      <c r="FD26" s="239"/>
      <c r="FE26" s="239"/>
      <c r="FF26" s="239"/>
      <c r="FG26" s="239"/>
      <c r="FH26" s="239"/>
      <c r="FI26" s="239"/>
      <c r="FJ26" s="239"/>
      <c r="FK26" s="239"/>
      <c r="FL26" s="239"/>
      <c r="FM26" s="239"/>
      <c r="FN26" s="239"/>
      <c r="FO26" s="239"/>
      <c r="FP26" s="239"/>
      <c r="FQ26" s="239"/>
      <c r="FR26" s="239"/>
      <c r="FS26" s="239"/>
      <c r="FT26" s="239"/>
      <c r="FU26" s="239"/>
      <c r="FV26" s="239"/>
      <c r="FW26" s="239"/>
    </row>
    <row r="27" spans="1:179" s="236" customFormat="1" ht="18">
      <c r="A27" s="251">
        <v>300</v>
      </c>
      <c r="B27" s="247">
        <v>2.4</v>
      </c>
      <c r="C27" s="247">
        <v>4.8</v>
      </c>
      <c r="D27" s="247">
        <v>7.2</v>
      </c>
      <c r="E27" s="252">
        <v>14</v>
      </c>
      <c r="F27" s="252">
        <v>17.8</v>
      </c>
      <c r="G27" s="252">
        <v>22.7</v>
      </c>
      <c r="H27" s="252">
        <v>29</v>
      </c>
      <c r="I27" s="252">
        <v>35</v>
      </c>
      <c r="J27" s="252">
        <v>45</v>
      </c>
      <c r="K27" s="252">
        <v>59</v>
      </c>
      <c r="L27" s="252">
        <v>76</v>
      </c>
      <c r="M27" s="252">
        <v>98</v>
      </c>
      <c r="N27" s="252">
        <v>121</v>
      </c>
      <c r="O27" s="252">
        <v>150</v>
      </c>
      <c r="P27" s="252">
        <v>200</v>
      </c>
      <c r="Q27" s="252">
        <v>240</v>
      </c>
      <c r="R27" s="252">
        <v>360</v>
      </c>
      <c r="S27" s="252">
        <v>600</v>
      </c>
      <c r="T27" s="258"/>
      <c r="U27" s="258"/>
      <c r="V27" s="253">
        <v>300</v>
      </c>
      <c r="W27" s="254">
        <v>1.5</v>
      </c>
      <c r="X27" s="254">
        <v>2.2999999999999998</v>
      </c>
      <c r="Y27" s="254">
        <v>2.5</v>
      </c>
      <c r="Z27" s="254">
        <v>3.6</v>
      </c>
      <c r="AA27" s="254">
        <v>4.5</v>
      </c>
      <c r="AB27" s="254">
        <v>5</v>
      </c>
      <c r="AC27" s="254">
        <v>5.8</v>
      </c>
      <c r="AD27" s="254">
        <v>7.5</v>
      </c>
      <c r="AE27" s="254">
        <v>11.5</v>
      </c>
      <c r="AF27" s="254">
        <v>13</v>
      </c>
      <c r="AG27" s="254">
        <v>18</v>
      </c>
      <c r="AH27" s="254">
        <v>21</v>
      </c>
      <c r="AI27" s="254">
        <v>28</v>
      </c>
      <c r="AJ27" s="254">
        <v>34</v>
      </c>
      <c r="AK27" s="254">
        <v>52</v>
      </c>
      <c r="AL27" s="254">
        <v>82</v>
      </c>
      <c r="AN27" s="239"/>
      <c r="AO27" s="239"/>
      <c r="AP27" s="239"/>
      <c r="AQ27" s="239"/>
      <c r="AR27" s="239"/>
      <c r="AS27" s="239"/>
      <c r="AT27" s="239"/>
      <c r="AU27" s="239"/>
      <c r="AV27" s="239"/>
      <c r="AW27" s="239"/>
      <c r="AX27" s="239"/>
      <c r="AY27" s="239"/>
      <c r="AZ27" s="239"/>
      <c r="BA27" s="239"/>
      <c r="BB27" s="239"/>
      <c r="BC27" s="239"/>
      <c r="BD27" s="239"/>
      <c r="BE27" s="239"/>
      <c r="BF27" s="239"/>
      <c r="BG27" s="239"/>
      <c r="BH27" s="239"/>
      <c r="BI27" s="239"/>
      <c r="BJ27" s="239"/>
      <c r="BK27" s="239"/>
      <c r="BL27" s="239"/>
      <c r="BM27" s="239"/>
      <c r="BN27" s="239"/>
      <c r="BO27" s="239"/>
      <c r="BP27" s="239"/>
      <c r="BQ27" s="239"/>
      <c r="BR27" s="239"/>
      <c r="BS27" s="239"/>
      <c r="BT27" s="239"/>
      <c r="BU27" s="239"/>
      <c r="BV27" s="239"/>
      <c r="BW27" s="239"/>
      <c r="BX27" s="239"/>
      <c r="BY27" s="239"/>
      <c r="BZ27" s="239"/>
      <c r="CA27" s="239"/>
      <c r="CB27" s="239"/>
      <c r="CC27" s="239"/>
      <c r="CD27" s="239"/>
      <c r="CE27" s="239"/>
      <c r="CF27" s="239"/>
      <c r="CG27" s="239"/>
      <c r="CH27" s="239"/>
      <c r="CI27" s="239"/>
      <c r="CJ27" s="239"/>
      <c r="CK27" s="239"/>
      <c r="CL27" s="239"/>
      <c r="CM27" s="239"/>
      <c r="CN27" s="239"/>
      <c r="CO27" s="239"/>
      <c r="CP27" s="239"/>
      <c r="CQ27" s="239"/>
      <c r="CR27" s="239"/>
      <c r="CS27" s="239"/>
      <c r="CT27" s="239"/>
      <c r="CU27" s="239"/>
      <c r="CV27" s="239"/>
      <c r="CW27" s="239"/>
      <c r="CX27" s="239"/>
      <c r="CY27" s="239"/>
      <c r="CZ27" s="239"/>
      <c r="DA27" s="239"/>
      <c r="DB27" s="239"/>
      <c r="DC27" s="239"/>
      <c r="DD27" s="239"/>
      <c r="DE27" s="239"/>
      <c r="DF27" s="239"/>
      <c r="DG27" s="239"/>
      <c r="DH27" s="239"/>
      <c r="DI27" s="239"/>
      <c r="DJ27" s="239"/>
      <c r="DK27" s="239"/>
      <c r="DL27" s="239"/>
      <c r="DM27" s="239"/>
      <c r="DN27" s="239"/>
      <c r="DO27" s="239"/>
      <c r="DP27" s="239"/>
      <c r="DQ27" s="239"/>
      <c r="DR27" s="239"/>
      <c r="DS27" s="239"/>
      <c r="DT27" s="239"/>
      <c r="DU27" s="239"/>
      <c r="DV27" s="239"/>
      <c r="DW27" s="239"/>
      <c r="DX27" s="239"/>
      <c r="DY27" s="239"/>
      <c r="DZ27" s="239"/>
      <c r="EA27" s="239"/>
      <c r="EB27" s="239"/>
      <c r="EC27" s="239"/>
      <c r="ED27" s="239"/>
      <c r="EE27" s="239"/>
      <c r="EF27" s="239"/>
      <c r="EG27" s="239"/>
      <c r="EH27" s="239"/>
      <c r="EI27" s="239"/>
      <c r="EJ27" s="239"/>
      <c r="EK27" s="239"/>
      <c r="EL27" s="239"/>
      <c r="EM27" s="239"/>
      <c r="EN27" s="239"/>
      <c r="EO27" s="239"/>
      <c r="EP27" s="239"/>
      <c r="EQ27" s="239"/>
      <c r="ER27" s="239"/>
      <c r="ES27" s="239"/>
      <c r="ET27" s="239"/>
      <c r="EU27" s="239"/>
      <c r="EV27" s="239"/>
      <c r="EW27" s="239"/>
      <c r="EX27" s="239"/>
      <c r="EY27" s="239"/>
      <c r="EZ27" s="239"/>
      <c r="FA27" s="239"/>
      <c r="FB27" s="239"/>
      <c r="FC27" s="239"/>
      <c r="FD27" s="239"/>
      <c r="FE27" s="239"/>
      <c r="FF27" s="239"/>
      <c r="FG27" s="239"/>
      <c r="FH27" s="239"/>
      <c r="FI27" s="239"/>
      <c r="FJ27" s="239"/>
      <c r="FK27" s="239"/>
      <c r="FL27" s="239"/>
      <c r="FM27" s="239"/>
      <c r="FN27" s="239"/>
      <c r="FO27" s="239"/>
      <c r="FP27" s="239"/>
      <c r="FQ27" s="239"/>
      <c r="FR27" s="239"/>
      <c r="FS27" s="239"/>
      <c r="FT27" s="239"/>
      <c r="FU27" s="239"/>
      <c r="FV27" s="239"/>
      <c r="FW27" s="239"/>
    </row>
    <row r="28" spans="1:179" s="236" customFormat="1" ht="18">
      <c r="A28" s="251">
        <v>180</v>
      </c>
      <c r="B28" s="247">
        <v>2.42</v>
      </c>
      <c r="C28" s="247">
        <v>5</v>
      </c>
      <c r="D28" s="247">
        <v>7.4</v>
      </c>
      <c r="E28" s="252">
        <v>14.5</v>
      </c>
      <c r="F28" s="252">
        <v>18</v>
      </c>
      <c r="G28" s="252">
        <v>23.4</v>
      </c>
      <c r="H28" s="252">
        <v>30</v>
      </c>
      <c r="I28" s="252">
        <v>36</v>
      </c>
      <c r="J28" s="252">
        <v>47</v>
      </c>
      <c r="K28" s="252">
        <v>60</v>
      </c>
      <c r="L28" s="252">
        <v>77</v>
      </c>
      <c r="M28" s="252">
        <v>103</v>
      </c>
      <c r="N28" s="252">
        <v>129</v>
      </c>
      <c r="O28" s="252">
        <v>157</v>
      </c>
      <c r="P28" s="252">
        <v>210</v>
      </c>
      <c r="Q28" s="252">
        <v>260</v>
      </c>
      <c r="R28" s="252">
        <v>400</v>
      </c>
      <c r="S28" s="252">
        <v>620</v>
      </c>
      <c r="T28" s="258"/>
      <c r="U28" s="258"/>
      <c r="V28" s="253">
        <v>180</v>
      </c>
      <c r="W28" s="254">
        <v>1.65</v>
      </c>
      <c r="X28" s="254">
        <v>2.5</v>
      </c>
      <c r="Y28" s="254">
        <v>2.8</v>
      </c>
      <c r="Z28" s="254">
        <v>4</v>
      </c>
      <c r="AA28" s="254">
        <v>4.9000000000000004</v>
      </c>
      <c r="AB28" s="254">
        <v>5.2</v>
      </c>
      <c r="AC28" s="254">
        <v>6.3</v>
      </c>
      <c r="AD28" s="254">
        <v>8.1999999999999993</v>
      </c>
      <c r="AE28" s="254">
        <v>12</v>
      </c>
      <c r="AF28" s="254">
        <v>14</v>
      </c>
      <c r="AG28" s="254">
        <v>19</v>
      </c>
      <c r="AH28" s="254">
        <v>22.5</v>
      </c>
      <c r="AI28" s="254">
        <v>30.5</v>
      </c>
      <c r="AJ28" s="254">
        <v>37</v>
      </c>
      <c r="AK28" s="254">
        <v>56</v>
      </c>
      <c r="AL28" s="254">
        <v>90</v>
      </c>
      <c r="AN28" s="239"/>
      <c r="AO28" s="239"/>
      <c r="AP28" s="239"/>
      <c r="AQ28" s="239"/>
      <c r="AR28" s="239"/>
      <c r="AS28" s="239"/>
      <c r="AT28" s="239"/>
      <c r="AU28" s="239"/>
      <c r="AV28" s="239"/>
      <c r="AW28" s="239"/>
      <c r="AX28" s="239"/>
      <c r="AY28" s="239"/>
      <c r="AZ28" s="239"/>
      <c r="BA28" s="239"/>
      <c r="BB28" s="239"/>
      <c r="BC28" s="239"/>
      <c r="BD28" s="239"/>
      <c r="BE28" s="239"/>
      <c r="BF28" s="239"/>
      <c r="BG28" s="239"/>
      <c r="BH28" s="239"/>
      <c r="BI28" s="239"/>
      <c r="BJ28" s="239"/>
      <c r="BK28" s="239"/>
      <c r="BL28" s="239"/>
      <c r="BM28" s="239"/>
      <c r="BN28" s="239"/>
      <c r="BO28" s="239"/>
      <c r="BP28" s="239"/>
      <c r="BQ28" s="239"/>
      <c r="BR28" s="239"/>
      <c r="BS28" s="239"/>
      <c r="BT28" s="239"/>
      <c r="BU28" s="239"/>
      <c r="BV28" s="239"/>
      <c r="BW28" s="239"/>
      <c r="BX28" s="239"/>
      <c r="BY28" s="239"/>
      <c r="BZ28" s="239"/>
      <c r="CA28" s="239"/>
      <c r="CB28" s="239"/>
      <c r="CC28" s="239"/>
      <c r="CD28" s="239"/>
      <c r="CE28" s="239"/>
      <c r="CF28" s="239"/>
      <c r="CG28" s="239"/>
      <c r="CH28" s="239"/>
      <c r="CI28" s="239"/>
      <c r="CJ28" s="239"/>
      <c r="CK28" s="239"/>
      <c r="CL28" s="239"/>
      <c r="CM28" s="239"/>
      <c r="CN28" s="239"/>
      <c r="CO28" s="239"/>
      <c r="CP28" s="239"/>
      <c r="CQ28" s="239"/>
      <c r="CR28" s="239"/>
      <c r="CS28" s="239"/>
      <c r="CT28" s="239"/>
      <c r="CU28" s="239"/>
      <c r="CV28" s="239"/>
      <c r="CW28" s="239"/>
      <c r="CX28" s="239"/>
      <c r="CY28" s="239"/>
      <c r="CZ28" s="239"/>
      <c r="DA28" s="239"/>
      <c r="DB28" s="239"/>
      <c r="DC28" s="239"/>
      <c r="DD28" s="239"/>
      <c r="DE28" s="239"/>
      <c r="DF28" s="239"/>
      <c r="DG28" s="239"/>
      <c r="DH28" s="239"/>
      <c r="DI28" s="239"/>
      <c r="DJ28" s="239"/>
      <c r="DK28" s="239"/>
      <c r="DL28" s="239"/>
      <c r="DM28" s="239"/>
      <c r="DN28" s="239"/>
      <c r="DO28" s="239"/>
      <c r="DP28" s="239"/>
      <c r="DQ28" s="239"/>
      <c r="DR28" s="239"/>
      <c r="DS28" s="239"/>
      <c r="DT28" s="239"/>
      <c r="DU28" s="239"/>
      <c r="DV28" s="239"/>
      <c r="DW28" s="239"/>
      <c r="DX28" s="239"/>
      <c r="DY28" s="239"/>
      <c r="DZ28" s="239"/>
      <c r="EA28" s="239"/>
      <c r="EB28" s="239"/>
      <c r="EC28" s="239"/>
      <c r="ED28" s="239"/>
      <c r="EE28" s="239"/>
      <c r="EF28" s="239"/>
      <c r="EG28" s="239"/>
      <c r="EH28" s="239"/>
      <c r="EI28" s="239"/>
      <c r="EJ28" s="239"/>
      <c r="EK28" s="239"/>
      <c r="EL28" s="239"/>
      <c r="EM28" s="239"/>
      <c r="EN28" s="239"/>
      <c r="EO28" s="239"/>
      <c r="EP28" s="239"/>
      <c r="EQ28" s="239"/>
      <c r="ER28" s="239"/>
      <c r="ES28" s="239"/>
      <c r="ET28" s="239"/>
      <c r="EU28" s="239"/>
      <c r="EV28" s="239"/>
      <c r="EW28" s="239"/>
      <c r="EX28" s="239"/>
      <c r="EY28" s="239"/>
      <c r="EZ28" s="239"/>
      <c r="FA28" s="239"/>
      <c r="FB28" s="239"/>
      <c r="FC28" s="239"/>
      <c r="FD28" s="239"/>
      <c r="FE28" s="239"/>
      <c r="FF28" s="239"/>
      <c r="FG28" s="239"/>
      <c r="FH28" s="239"/>
      <c r="FI28" s="239"/>
      <c r="FJ28" s="239"/>
      <c r="FK28" s="239"/>
      <c r="FL28" s="239"/>
      <c r="FM28" s="239"/>
      <c r="FN28" s="239"/>
      <c r="FO28" s="239"/>
      <c r="FP28" s="239"/>
      <c r="FQ28" s="239"/>
      <c r="FR28" s="239"/>
      <c r="FS28" s="239"/>
      <c r="FT28" s="239"/>
      <c r="FU28" s="239"/>
      <c r="FV28" s="239"/>
      <c r="FW28" s="239"/>
    </row>
    <row r="29" spans="1:179" s="236" customFormat="1" ht="18">
      <c r="A29" s="251">
        <v>120</v>
      </c>
      <c r="B29" s="247">
        <v>2.4500000000000002</v>
      </c>
      <c r="C29" s="247">
        <v>5.0999999999999996</v>
      </c>
      <c r="D29" s="247">
        <v>7.5</v>
      </c>
      <c r="E29" s="252">
        <v>15</v>
      </c>
      <c r="F29" s="252">
        <v>19</v>
      </c>
      <c r="G29" s="252">
        <v>24</v>
      </c>
      <c r="H29" s="252">
        <v>35</v>
      </c>
      <c r="I29" s="252">
        <v>44</v>
      </c>
      <c r="J29" s="252">
        <v>55</v>
      </c>
      <c r="K29" s="252">
        <v>70</v>
      </c>
      <c r="L29" s="252">
        <v>90</v>
      </c>
      <c r="M29" s="252">
        <v>114</v>
      </c>
      <c r="N29" s="252">
        <v>140</v>
      </c>
      <c r="O29" s="252">
        <v>180</v>
      </c>
      <c r="P29" s="252">
        <v>230</v>
      </c>
      <c r="Q29" s="252">
        <v>290</v>
      </c>
      <c r="R29" s="252">
        <v>500</v>
      </c>
      <c r="S29" s="252">
        <v>790</v>
      </c>
      <c r="T29" s="259"/>
      <c r="U29" s="259"/>
      <c r="V29" s="253">
        <v>120</v>
      </c>
      <c r="W29" s="254">
        <v>1.8</v>
      </c>
      <c r="X29" s="254">
        <v>2.7</v>
      </c>
      <c r="Y29" s="254">
        <v>3</v>
      </c>
      <c r="Z29" s="254">
        <v>4.3</v>
      </c>
      <c r="AA29" s="254">
        <v>5.4</v>
      </c>
      <c r="AB29" s="254">
        <v>5.9</v>
      </c>
      <c r="AC29" s="254">
        <v>7</v>
      </c>
      <c r="AD29" s="254">
        <v>9</v>
      </c>
      <c r="AE29" s="254">
        <v>13</v>
      </c>
      <c r="AF29" s="254">
        <v>15</v>
      </c>
      <c r="AG29" s="254">
        <v>21</v>
      </c>
      <c r="AH29" s="254">
        <v>25</v>
      </c>
      <c r="AI29" s="254">
        <v>34</v>
      </c>
      <c r="AJ29" s="254">
        <v>42</v>
      </c>
      <c r="AK29" s="254">
        <v>60</v>
      </c>
      <c r="AL29" s="254">
        <v>96</v>
      </c>
      <c r="AN29" s="239"/>
      <c r="AO29" s="239"/>
      <c r="AP29" s="239"/>
      <c r="AQ29" s="239"/>
      <c r="AR29" s="239"/>
      <c r="AS29" s="239"/>
      <c r="AT29" s="239"/>
      <c r="AU29" s="239"/>
      <c r="AV29" s="239"/>
      <c r="AW29" s="239"/>
      <c r="AX29" s="239"/>
      <c r="AY29" s="239"/>
      <c r="AZ29" s="239"/>
      <c r="BA29" s="239"/>
      <c r="BB29" s="239"/>
      <c r="BC29" s="239"/>
      <c r="BD29" s="239"/>
      <c r="BE29" s="239"/>
      <c r="BF29" s="239"/>
      <c r="BG29" s="239"/>
      <c r="BH29" s="239"/>
      <c r="BI29" s="239"/>
      <c r="BJ29" s="239"/>
      <c r="BK29" s="239"/>
      <c r="BL29" s="239"/>
      <c r="BM29" s="239"/>
      <c r="BN29" s="239"/>
      <c r="BO29" s="239"/>
      <c r="BP29" s="239"/>
      <c r="BQ29" s="239"/>
      <c r="BR29" s="239"/>
      <c r="BS29" s="239"/>
      <c r="BT29" s="239"/>
      <c r="BU29" s="239"/>
      <c r="BV29" s="239"/>
      <c r="BW29" s="239"/>
      <c r="BX29" s="239"/>
      <c r="BY29" s="239"/>
      <c r="BZ29" s="239"/>
      <c r="CA29" s="239"/>
      <c r="CB29" s="239"/>
      <c r="CC29" s="239"/>
      <c r="CD29" s="239"/>
      <c r="CE29" s="239"/>
      <c r="CF29" s="239"/>
      <c r="CG29" s="239"/>
      <c r="CH29" s="239"/>
      <c r="CI29" s="239"/>
      <c r="CJ29" s="239"/>
      <c r="CK29" s="239"/>
      <c r="CL29" s="239"/>
      <c r="CM29" s="239"/>
      <c r="CN29" s="239"/>
      <c r="CO29" s="239"/>
      <c r="CP29" s="239"/>
      <c r="CQ29" s="239"/>
      <c r="CR29" s="239"/>
      <c r="CS29" s="239"/>
      <c r="CT29" s="239"/>
      <c r="CU29" s="239"/>
      <c r="CV29" s="239"/>
      <c r="CW29" s="239"/>
      <c r="CX29" s="239"/>
      <c r="CY29" s="239"/>
      <c r="CZ29" s="239"/>
      <c r="DA29" s="239"/>
      <c r="DB29" s="239"/>
      <c r="DC29" s="239"/>
      <c r="DD29" s="239"/>
      <c r="DE29" s="239"/>
      <c r="DF29" s="239"/>
      <c r="DG29" s="239"/>
      <c r="DH29" s="239"/>
      <c r="DI29" s="239"/>
      <c r="DJ29" s="239"/>
      <c r="DK29" s="239"/>
      <c r="DL29" s="239"/>
      <c r="DM29" s="239"/>
      <c r="DN29" s="239"/>
      <c r="DO29" s="239"/>
      <c r="DP29" s="239"/>
      <c r="DQ29" s="239"/>
      <c r="DR29" s="239"/>
      <c r="DS29" s="239"/>
      <c r="DT29" s="239"/>
      <c r="DU29" s="239"/>
      <c r="DV29" s="239"/>
      <c r="DW29" s="239"/>
      <c r="DX29" s="239"/>
      <c r="DY29" s="239"/>
      <c r="DZ29" s="239"/>
      <c r="EA29" s="239"/>
      <c r="EB29" s="239"/>
      <c r="EC29" s="239"/>
      <c r="ED29" s="239"/>
      <c r="EE29" s="239"/>
      <c r="EF29" s="239"/>
      <c r="EG29" s="239"/>
      <c r="EH29" s="239"/>
      <c r="EI29" s="239"/>
      <c r="EJ29" s="239"/>
      <c r="EK29" s="239"/>
      <c r="EL29" s="239"/>
      <c r="EM29" s="239"/>
      <c r="EN29" s="239"/>
      <c r="EO29" s="239"/>
      <c r="EP29" s="239"/>
      <c r="EQ29" s="239"/>
      <c r="ER29" s="239"/>
      <c r="ES29" s="239"/>
      <c r="ET29" s="239"/>
      <c r="EU29" s="239"/>
      <c r="EV29" s="239"/>
      <c r="EW29" s="239"/>
      <c r="EX29" s="239"/>
      <c r="EY29" s="239"/>
      <c r="EZ29" s="239"/>
      <c r="FA29" s="239"/>
      <c r="FB29" s="239"/>
      <c r="FC29" s="239"/>
      <c r="FD29" s="239"/>
      <c r="FE29" s="239"/>
      <c r="FF29" s="239"/>
      <c r="FG29" s="239"/>
      <c r="FH29" s="239"/>
      <c r="FI29" s="239"/>
      <c r="FJ29" s="239"/>
      <c r="FK29" s="239"/>
      <c r="FL29" s="239"/>
      <c r="FM29" s="239"/>
      <c r="FN29" s="239"/>
      <c r="FO29" s="239"/>
      <c r="FP29" s="239"/>
      <c r="FQ29" s="239"/>
      <c r="FR29" s="239"/>
      <c r="FS29" s="239"/>
      <c r="FT29" s="239"/>
      <c r="FU29" s="239"/>
      <c r="FV29" s="239"/>
      <c r="FW29" s="239"/>
    </row>
    <row r="30" spans="1:179" s="236" customFormat="1" ht="18">
      <c r="A30" s="251">
        <v>60</v>
      </c>
      <c r="B30" s="247">
        <v>2.6</v>
      </c>
      <c r="C30" s="247">
        <v>5.4</v>
      </c>
      <c r="D30" s="247">
        <v>8</v>
      </c>
      <c r="E30" s="252">
        <v>16</v>
      </c>
      <c r="F30" s="252">
        <v>20.399999999999999</v>
      </c>
      <c r="G30" s="252">
        <v>26</v>
      </c>
      <c r="H30" s="252">
        <v>38</v>
      </c>
      <c r="I30" s="252">
        <v>50</v>
      </c>
      <c r="J30" s="252">
        <v>62</v>
      </c>
      <c r="K30" s="252">
        <v>80</v>
      </c>
      <c r="L30" s="252">
        <v>100</v>
      </c>
      <c r="M30" s="252">
        <v>130</v>
      </c>
      <c r="N30" s="252">
        <v>160</v>
      </c>
      <c r="O30" s="252">
        <v>210</v>
      </c>
      <c r="P30" s="252">
        <v>260</v>
      </c>
      <c r="Q30" s="252">
        <v>330</v>
      </c>
      <c r="R30" s="252">
        <v>560</v>
      </c>
      <c r="S30" s="252">
        <v>900</v>
      </c>
      <c r="T30" s="259"/>
      <c r="U30" s="259"/>
      <c r="V30" s="253">
        <v>60</v>
      </c>
      <c r="W30" s="254">
        <v>2.2999999999999998</v>
      </c>
      <c r="X30" s="254">
        <v>3.4</v>
      </c>
      <c r="Y30" s="254">
        <v>3.8</v>
      </c>
      <c r="Z30" s="254">
        <v>5.5</v>
      </c>
      <c r="AA30" s="254">
        <v>6.8</v>
      </c>
      <c r="AB30" s="254">
        <v>7.3</v>
      </c>
      <c r="AC30" s="254">
        <v>8.6</v>
      </c>
      <c r="AD30" s="254">
        <v>11.5</v>
      </c>
      <c r="AE30" s="254">
        <v>17</v>
      </c>
      <c r="AF30" s="254">
        <v>19</v>
      </c>
      <c r="AG30" s="254">
        <v>27</v>
      </c>
      <c r="AH30" s="254">
        <v>31</v>
      </c>
      <c r="AI30" s="254">
        <v>45</v>
      </c>
      <c r="AJ30" s="254">
        <v>52</v>
      </c>
      <c r="AK30" s="254">
        <v>73</v>
      </c>
      <c r="AL30" s="254">
        <v>110</v>
      </c>
      <c r="AN30" s="239"/>
      <c r="AO30" s="239"/>
      <c r="AP30" s="239"/>
      <c r="AQ30" s="239"/>
      <c r="AR30" s="239"/>
      <c r="AS30" s="239"/>
      <c r="AT30" s="239"/>
      <c r="AU30" s="239"/>
      <c r="AV30" s="239"/>
      <c r="AW30" s="239"/>
      <c r="AX30" s="239"/>
      <c r="AY30" s="239"/>
      <c r="AZ30" s="239"/>
      <c r="BA30" s="239"/>
      <c r="BB30" s="239"/>
      <c r="BC30" s="239"/>
      <c r="BD30" s="239"/>
      <c r="BE30" s="239"/>
      <c r="BF30" s="239"/>
      <c r="BG30" s="239"/>
      <c r="BH30" s="239"/>
      <c r="BI30" s="239"/>
      <c r="BJ30" s="239"/>
      <c r="BK30" s="239"/>
      <c r="BL30" s="239"/>
      <c r="BM30" s="239"/>
      <c r="BN30" s="239"/>
      <c r="BO30" s="239"/>
      <c r="BP30" s="239"/>
      <c r="BQ30" s="239"/>
      <c r="BR30" s="239"/>
      <c r="BS30" s="239"/>
      <c r="BT30" s="239"/>
      <c r="BU30" s="239"/>
      <c r="BV30" s="239"/>
      <c r="BW30" s="239"/>
      <c r="BX30" s="239"/>
      <c r="BY30" s="239"/>
      <c r="BZ30" s="239"/>
      <c r="CA30" s="239"/>
      <c r="CB30" s="239"/>
      <c r="CC30" s="239"/>
      <c r="CD30" s="239"/>
      <c r="CE30" s="239"/>
      <c r="CF30" s="239"/>
      <c r="CG30" s="239"/>
      <c r="CH30" s="239"/>
      <c r="CI30" s="239"/>
      <c r="CJ30" s="239"/>
      <c r="CK30" s="239"/>
      <c r="CL30" s="239"/>
      <c r="CM30" s="239"/>
      <c r="CN30" s="239"/>
      <c r="CO30" s="239"/>
      <c r="CP30" s="239"/>
      <c r="CQ30" s="239"/>
      <c r="CR30" s="239"/>
      <c r="CS30" s="239"/>
      <c r="CT30" s="239"/>
      <c r="CU30" s="239"/>
      <c r="CV30" s="239"/>
      <c r="CW30" s="239"/>
      <c r="CX30" s="239"/>
      <c r="CY30" s="239"/>
      <c r="CZ30" s="239"/>
      <c r="DA30" s="239"/>
      <c r="DB30" s="239"/>
      <c r="DC30" s="239"/>
      <c r="DD30" s="239"/>
      <c r="DE30" s="239"/>
      <c r="DF30" s="239"/>
      <c r="DG30" s="239"/>
      <c r="DH30" s="239"/>
      <c r="DI30" s="239"/>
      <c r="DJ30" s="239"/>
      <c r="DK30" s="239"/>
      <c r="DL30" s="239"/>
      <c r="DM30" s="239"/>
      <c r="DN30" s="239"/>
      <c r="DO30" s="239"/>
      <c r="DP30" s="239"/>
      <c r="DQ30" s="239"/>
      <c r="DR30" s="239"/>
      <c r="DS30" s="239"/>
      <c r="DT30" s="239"/>
      <c r="DU30" s="239"/>
      <c r="DV30" s="239"/>
      <c r="DW30" s="239"/>
      <c r="DX30" s="239"/>
      <c r="DY30" s="239"/>
      <c r="DZ30" s="239"/>
      <c r="EA30" s="239"/>
      <c r="EB30" s="239"/>
      <c r="EC30" s="239"/>
      <c r="ED30" s="239"/>
      <c r="EE30" s="239"/>
      <c r="EF30" s="239"/>
      <c r="EG30" s="239"/>
      <c r="EH30" s="239"/>
      <c r="EI30" s="239"/>
      <c r="EJ30" s="239"/>
      <c r="EK30" s="239"/>
      <c r="EL30" s="239"/>
      <c r="EM30" s="239"/>
      <c r="EN30" s="239"/>
      <c r="EO30" s="239"/>
      <c r="EP30" s="239"/>
      <c r="EQ30" s="239"/>
      <c r="ER30" s="239"/>
      <c r="ES30" s="239"/>
      <c r="ET30" s="239"/>
      <c r="EU30" s="239"/>
      <c r="EV30" s="239"/>
      <c r="EW30" s="239"/>
      <c r="EX30" s="239"/>
      <c r="EY30" s="239"/>
      <c r="EZ30" s="239"/>
      <c r="FA30" s="239"/>
      <c r="FB30" s="239"/>
      <c r="FC30" s="239"/>
      <c r="FD30" s="239"/>
      <c r="FE30" s="239"/>
      <c r="FF30" s="239"/>
      <c r="FG30" s="239"/>
      <c r="FH30" s="239"/>
      <c r="FI30" s="239"/>
      <c r="FJ30" s="239"/>
      <c r="FK30" s="239"/>
      <c r="FL30" s="239"/>
      <c r="FM30" s="239"/>
      <c r="FN30" s="239"/>
      <c r="FO30" s="239"/>
      <c r="FP30" s="239"/>
      <c r="FQ30" s="239"/>
      <c r="FR30" s="239"/>
      <c r="FS30" s="239"/>
      <c r="FT30" s="239"/>
      <c r="FU30" s="239"/>
      <c r="FV30" s="239"/>
      <c r="FW30" s="239"/>
    </row>
    <row r="31" spans="1:179" s="236" customFormat="1" ht="18">
      <c r="A31" s="251">
        <v>30</v>
      </c>
      <c r="B31" s="247">
        <v>2.75</v>
      </c>
      <c r="C31" s="247">
        <v>5.5</v>
      </c>
      <c r="D31" s="247">
        <v>8.1999999999999993</v>
      </c>
      <c r="E31" s="252">
        <v>17</v>
      </c>
      <c r="F31" s="252">
        <v>22</v>
      </c>
      <c r="G31" s="252">
        <v>29</v>
      </c>
      <c r="H31" s="252">
        <v>43</v>
      </c>
      <c r="I31" s="252">
        <v>55</v>
      </c>
      <c r="J31" s="252">
        <v>70</v>
      </c>
      <c r="K31" s="252">
        <v>90</v>
      </c>
      <c r="L31" s="252">
        <v>112</v>
      </c>
      <c r="M31" s="252">
        <v>145</v>
      </c>
      <c r="N31" s="252">
        <v>185</v>
      </c>
      <c r="O31" s="252">
        <v>230</v>
      </c>
      <c r="P31" s="252">
        <v>295</v>
      </c>
      <c r="Q31" s="252">
        <v>380</v>
      </c>
      <c r="R31" s="252">
        <v>630</v>
      </c>
      <c r="S31" s="252">
        <v>1000</v>
      </c>
      <c r="T31" s="259"/>
      <c r="U31" s="259"/>
      <c r="V31" s="253">
        <v>30</v>
      </c>
      <c r="W31" s="254">
        <v>3.2</v>
      </c>
      <c r="X31" s="254">
        <v>4.5999999999999996</v>
      </c>
      <c r="Y31" s="254">
        <v>5.5</v>
      </c>
      <c r="Z31" s="254">
        <v>8</v>
      </c>
      <c r="AA31" s="254">
        <v>9.5</v>
      </c>
      <c r="AB31" s="254">
        <v>10</v>
      </c>
      <c r="AC31" s="254">
        <v>12</v>
      </c>
      <c r="AD31" s="254">
        <v>16</v>
      </c>
      <c r="AE31" s="254">
        <v>24</v>
      </c>
      <c r="AF31" s="254">
        <v>26</v>
      </c>
      <c r="AG31" s="254">
        <v>36</v>
      </c>
      <c r="AH31" s="254">
        <v>45</v>
      </c>
      <c r="AI31" s="254">
        <v>57</v>
      </c>
      <c r="AJ31" s="254">
        <v>68</v>
      </c>
      <c r="AK31" s="254">
        <v>95</v>
      </c>
      <c r="AL31" s="254">
        <v>140</v>
      </c>
      <c r="AN31" s="239"/>
      <c r="AO31" s="239"/>
      <c r="AP31" s="239"/>
      <c r="AQ31" s="239"/>
      <c r="AR31" s="239"/>
      <c r="AS31" s="239"/>
      <c r="AT31" s="239"/>
      <c r="AU31" s="239"/>
      <c r="AV31" s="239"/>
      <c r="AW31" s="239"/>
      <c r="AX31" s="239"/>
      <c r="AY31" s="239"/>
      <c r="AZ31" s="239"/>
      <c r="BA31" s="239"/>
      <c r="BB31" s="239"/>
      <c r="BC31" s="239"/>
      <c r="BD31" s="239"/>
      <c r="BE31" s="239"/>
      <c r="BF31" s="239"/>
      <c r="BG31" s="239"/>
      <c r="BH31" s="239"/>
      <c r="BI31" s="239"/>
      <c r="BJ31" s="239"/>
      <c r="BK31" s="239"/>
      <c r="BL31" s="239"/>
      <c r="BM31" s="239"/>
      <c r="BN31" s="239"/>
      <c r="BO31" s="239"/>
      <c r="BP31" s="239"/>
      <c r="BQ31" s="239"/>
      <c r="BR31" s="239"/>
      <c r="BS31" s="239"/>
      <c r="BT31" s="239"/>
      <c r="BU31" s="239"/>
      <c r="BV31" s="239"/>
      <c r="BW31" s="239"/>
      <c r="BX31" s="239"/>
      <c r="BY31" s="239"/>
      <c r="BZ31" s="239"/>
      <c r="CA31" s="239"/>
      <c r="CB31" s="239"/>
      <c r="CC31" s="239"/>
      <c r="CD31" s="239"/>
      <c r="CE31" s="239"/>
      <c r="CF31" s="239"/>
      <c r="CG31" s="239"/>
      <c r="CH31" s="239"/>
      <c r="CI31" s="239"/>
      <c r="CJ31" s="239"/>
      <c r="CK31" s="239"/>
      <c r="CL31" s="239"/>
      <c r="CM31" s="239"/>
      <c r="CN31" s="239"/>
      <c r="CO31" s="239"/>
      <c r="CP31" s="239"/>
      <c r="CQ31" s="239"/>
      <c r="CR31" s="239"/>
      <c r="CS31" s="239"/>
      <c r="CT31" s="239"/>
      <c r="CU31" s="239"/>
      <c r="CV31" s="239"/>
      <c r="CW31" s="239"/>
      <c r="CX31" s="239"/>
      <c r="CY31" s="239"/>
      <c r="CZ31" s="239"/>
      <c r="DA31" s="239"/>
      <c r="DB31" s="239"/>
      <c r="DC31" s="239"/>
      <c r="DD31" s="239"/>
      <c r="DE31" s="239"/>
      <c r="DF31" s="239"/>
      <c r="DG31" s="239"/>
      <c r="DH31" s="239"/>
      <c r="DI31" s="239"/>
      <c r="DJ31" s="239"/>
      <c r="DK31" s="239"/>
      <c r="DL31" s="239"/>
      <c r="DM31" s="239"/>
      <c r="DN31" s="239"/>
      <c r="DO31" s="239"/>
      <c r="DP31" s="239"/>
      <c r="DQ31" s="239"/>
      <c r="DR31" s="239"/>
      <c r="DS31" s="239"/>
      <c r="DT31" s="239"/>
      <c r="DU31" s="239"/>
      <c r="DV31" s="239"/>
      <c r="DW31" s="239"/>
      <c r="DX31" s="239"/>
      <c r="DY31" s="239"/>
      <c r="DZ31" s="239"/>
      <c r="EA31" s="239"/>
      <c r="EB31" s="239"/>
      <c r="EC31" s="239"/>
      <c r="ED31" s="239"/>
      <c r="EE31" s="239"/>
      <c r="EF31" s="239"/>
      <c r="EG31" s="239"/>
      <c r="EH31" s="239"/>
      <c r="EI31" s="239"/>
      <c r="EJ31" s="239"/>
      <c r="EK31" s="239"/>
      <c r="EL31" s="239"/>
      <c r="EM31" s="239"/>
      <c r="EN31" s="239"/>
      <c r="EO31" s="239"/>
      <c r="EP31" s="239"/>
      <c r="EQ31" s="239"/>
      <c r="ER31" s="239"/>
      <c r="ES31" s="239"/>
      <c r="ET31" s="239"/>
      <c r="EU31" s="239"/>
      <c r="EV31" s="239"/>
      <c r="EW31" s="239"/>
      <c r="EX31" s="239"/>
      <c r="EY31" s="239"/>
      <c r="EZ31" s="239"/>
      <c r="FA31" s="239"/>
      <c r="FB31" s="239"/>
      <c r="FC31" s="239"/>
      <c r="FD31" s="239"/>
      <c r="FE31" s="239"/>
      <c r="FF31" s="239"/>
      <c r="FG31" s="239"/>
      <c r="FH31" s="239"/>
      <c r="FI31" s="239"/>
      <c r="FJ31" s="239"/>
      <c r="FK31" s="239"/>
      <c r="FL31" s="239"/>
      <c r="FM31" s="239"/>
      <c r="FN31" s="239"/>
      <c r="FO31" s="239"/>
      <c r="FP31" s="239"/>
      <c r="FQ31" s="239"/>
      <c r="FR31" s="239"/>
      <c r="FS31" s="239"/>
      <c r="FT31" s="239"/>
      <c r="FU31" s="239"/>
      <c r="FV31" s="239"/>
      <c r="FW31" s="239"/>
    </row>
    <row r="32" spans="1:179" s="236" customFormat="1" ht="18">
      <c r="A32" s="251">
        <v>10</v>
      </c>
      <c r="B32" s="247">
        <v>2.9</v>
      </c>
      <c r="C32" s="247">
        <v>6</v>
      </c>
      <c r="D32" s="247">
        <v>8.8000000000000007</v>
      </c>
      <c r="E32" s="252">
        <v>20</v>
      </c>
      <c r="F32" s="252">
        <v>28</v>
      </c>
      <c r="G32" s="252">
        <v>36</v>
      </c>
      <c r="H32" s="252">
        <v>52</v>
      </c>
      <c r="I32" s="252">
        <v>67</v>
      </c>
      <c r="J32" s="252">
        <v>85</v>
      </c>
      <c r="K32" s="252">
        <v>109</v>
      </c>
      <c r="L32" s="252">
        <v>138</v>
      </c>
      <c r="M32" s="252">
        <v>178</v>
      </c>
      <c r="N32" s="252">
        <v>226</v>
      </c>
      <c r="O32" s="252">
        <v>291</v>
      </c>
      <c r="P32" s="252">
        <v>370</v>
      </c>
      <c r="Q32" s="252">
        <v>475</v>
      </c>
      <c r="R32" s="252">
        <v>775</v>
      </c>
      <c r="S32" s="252">
        <v>1275</v>
      </c>
      <c r="T32" s="259"/>
      <c r="U32" s="259"/>
      <c r="V32" s="253">
        <v>10</v>
      </c>
      <c r="W32" s="254">
        <v>6.7</v>
      </c>
      <c r="X32" s="254">
        <v>9.8000000000000007</v>
      </c>
      <c r="Y32" s="254">
        <v>11</v>
      </c>
      <c r="Z32" s="254">
        <v>16</v>
      </c>
      <c r="AA32" s="254">
        <v>19</v>
      </c>
      <c r="AB32" s="254">
        <v>20</v>
      </c>
      <c r="AC32" s="254">
        <v>25</v>
      </c>
      <c r="AD32" s="254">
        <v>34</v>
      </c>
      <c r="AE32" s="254">
        <v>44</v>
      </c>
      <c r="AF32" s="254">
        <v>47</v>
      </c>
      <c r="AG32" s="254">
        <v>66</v>
      </c>
      <c r="AH32" s="254">
        <v>74</v>
      </c>
      <c r="AI32" s="254">
        <v>96</v>
      </c>
      <c r="AJ32" s="254">
        <v>115</v>
      </c>
      <c r="AK32" s="254">
        <v>158</v>
      </c>
      <c r="AL32" s="254">
        <v>225</v>
      </c>
      <c r="AN32" s="239"/>
      <c r="AO32" s="239"/>
      <c r="AP32" s="239"/>
      <c r="AQ32" s="239"/>
      <c r="AR32" s="239"/>
      <c r="AS32" s="239"/>
      <c r="AT32" s="239"/>
      <c r="AU32" s="239"/>
      <c r="AV32" s="239"/>
      <c r="AW32" s="239"/>
      <c r="AX32" s="239"/>
      <c r="AY32" s="239"/>
      <c r="AZ32" s="239"/>
      <c r="BA32" s="239"/>
      <c r="BB32" s="239"/>
      <c r="BC32" s="239"/>
      <c r="BD32" s="239"/>
      <c r="BE32" s="239"/>
      <c r="BF32" s="239"/>
      <c r="BG32" s="239"/>
      <c r="BH32" s="239"/>
      <c r="BI32" s="239"/>
      <c r="BJ32" s="239"/>
      <c r="BK32" s="239"/>
      <c r="BL32" s="239"/>
      <c r="BM32" s="239"/>
      <c r="BN32" s="239"/>
      <c r="BO32" s="239"/>
      <c r="BP32" s="239"/>
      <c r="BQ32" s="239"/>
      <c r="BR32" s="239"/>
      <c r="BS32" s="239"/>
      <c r="BT32" s="239"/>
      <c r="BU32" s="239"/>
      <c r="BV32" s="239"/>
      <c r="BW32" s="239"/>
      <c r="BX32" s="239"/>
      <c r="BY32" s="239"/>
      <c r="BZ32" s="239"/>
      <c r="CA32" s="239"/>
      <c r="CB32" s="239"/>
      <c r="CC32" s="239"/>
      <c r="CD32" s="239"/>
      <c r="CE32" s="239"/>
      <c r="CF32" s="239"/>
      <c r="CG32" s="239"/>
      <c r="CH32" s="239"/>
      <c r="CI32" s="239"/>
      <c r="CJ32" s="239"/>
      <c r="CK32" s="239"/>
      <c r="CL32" s="239"/>
      <c r="CM32" s="239"/>
      <c r="CN32" s="239"/>
      <c r="CO32" s="239"/>
      <c r="CP32" s="239"/>
      <c r="CQ32" s="239"/>
      <c r="CR32" s="239"/>
      <c r="CS32" s="239"/>
      <c r="CT32" s="239"/>
      <c r="CU32" s="239"/>
      <c r="CV32" s="239"/>
      <c r="CW32" s="239"/>
      <c r="CX32" s="239"/>
      <c r="CY32" s="239"/>
      <c r="CZ32" s="239"/>
      <c r="DA32" s="239"/>
      <c r="DB32" s="239"/>
      <c r="DC32" s="239"/>
      <c r="DD32" s="239"/>
      <c r="DE32" s="239"/>
      <c r="DF32" s="239"/>
      <c r="DG32" s="239"/>
      <c r="DH32" s="239"/>
      <c r="DI32" s="239"/>
      <c r="DJ32" s="239"/>
      <c r="DK32" s="239"/>
      <c r="DL32" s="239"/>
      <c r="DM32" s="239"/>
      <c r="DN32" s="239"/>
      <c r="DO32" s="239"/>
      <c r="DP32" s="239"/>
      <c r="DQ32" s="239"/>
      <c r="DR32" s="239"/>
      <c r="DS32" s="239"/>
      <c r="DT32" s="239"/>
      <c r="DU32" s="239"/>
      <c r="DV32" s="239"/>
      <c r="DW32" s="239"/>
      <c r="DX32" s="239"/>
      <c r="DY32" s="239"/>
      <c r="DZ32" s="239"/>
      <c r="EA32" s="239"/>
      <c r="EB32" s="239"/>
      <c r="EC32" s="239"/>
      <c r="ED32" s="239"/>
      <c r="EE32" s="239"/>
      <c r="EF32" s="239"/>
      <c r="EG32" s="239"/>
      <c r="EH32" s="239"/>
      <c r="EI32" s="239"/>
      <c r="EJ32" s="239"/>
      <c r="EK32" s="239"/>
      <c r="EL32" s="239"/>
      <c r="EM32" s="239"/>
      <c r="EN32" s="239"/>
      <c r="EO32" s="239"/>
      <c r="EP32" s="239"/>
      <c r="EQ32" s="239"/>
      <c r="ER32" s="239"/>
      <c r="ES32" s="239"/>
      <c r="ET32" s="239"/>
      <c r="EU32" s="239"/>
      <c r="EV32" s="239"/>
      <c r="EW32" s="239"/>
      <c r="EX32" s="239"/>
      <c r="EY32" s="239"/>
      <c r="EZ32" s="239"/>
      <c r="FA32" s="239"/>
      <c r="FB32" s="239"/>
      <c r="FC32" s="239"/>
      <c r="FD32" s="239"/>
      <c r="FE32" s="239"/>
      <c r="FF32" s="239"/>
      <c r="FG32" s="239"/>
      <c r="FH32" s="239"/>
      <c r="FI32" s="239"/>
      <c r="FJ32" s="239"/>
      <c r="FK32" s="239"/>
      <c r="FL32" s="239"/>
      <c r="FM32" s="239"/>
      <c r="FN32" s="239"/>
      <c r="FO32" s="239"/>
      <c r="FP32" s="239"/>
      <c r="FQ32" s="239"/>
      <c r="FR32" s="239"/>
      <c r="FS32" s="239"/>
      <c r="FT32" s="239"/>
      <c r="FU32" s="239"/>
      <c r="FV32" s="239"/>
      <c r="FW32" s="239"/>
    </row>
    <row r="33" spans="1:179" s="236" customFormat="1" ht="18">
      <c r="A33" s="251">
        <v>4</v>
      </c>
      <c r="B33" s="255">
        <v>3.6</v>
      </c>
      <c r="C33" s="255">
        <v>6.8</v>
      </c>
      <c r="D33" s="255">
        <v>10</v>
      </c>
      <c r="E33" s="255">
        <v>26</v>
      </c>
      <c r="F33" s="255">
        <v>37</v>
      </c>
      <c r="G33" s="255">
        <v>47</v>
      </c>
      <c r="H33" s="255">
        <v>54.5</v>
      </c>
      <c r="I33" s="255">
        <v>80</v>
      </c>
      <c r="J33" s="255">
        <v>100</v>
      </c>
      <c r="K33" s="255">
        <v>130</v>
      </c>
      <c r="L33" s="255">
        <v>180</v>
      </c>
      <c r="M33" s="255">
        <v>235</v>
      </c>
      <c r="N33" s="255">
        <v>285</v>
      </c>
      <c r="O33" s="255">
        <v>350</v>
      </c>
      <c r="P33" s="255">
        <v>480</v>
      </c>
      <c r="Q33" s="255">
        <v>620</v>
      </c>
      <c r="R33" s="255">
        <v>810</v>
      </c>
      <c r="S33" s="255">
        <v>1350</v>
      </c>
      <c r="T33" s="259"/>
      <c r="U33" s="259"/>
      <c r="V33" s="253">
        <v>4</v>
      </c>
      <c r="W33" s="254">
        <v>10.5</v>
      </c>
      <c r="X33" s="254">
        <v>16</v>
      </c>
      <c r="Y33" s="254">
        <v>17.5</v>
      </c>
      <c r="Z33" s="254">
        <v>24</v>
      </c>
      <c r="AA33" s="254">
        <v>27.5</v>
      </c>
      <c r="AB33" s="254">
        <v>29.5</v>
      </c>
      <c r="AC33" s="254">
        <v>38</v>
      </c>
      <c r="AD33" s="254">
        <v>50</v>
      </c>
      <c r="AE33" s="254">
        <v>64</v>
      </c>
      <c r="AF33" s="254">
        <v>68</v>
      </c>
      <c r="AG33" s="254">
        <v>99</v>
      </c>
      <c r="AH33" s="254">
        <v>115</v>
      </c>
      <c r="AI33" s="254">
        <v>146</v>
      </c>
      <c r="AJ33" s="254">
        <v>180</v>
      </c>
      <c r="AK33" s="254">
        <v>215</v>
      </c>
      <c r="AL33" s="254">
        <v>300</v>
      </c>
      <c r="AN33" s="239"/>
      <c r="AO33" s="239"/>
      <c r="AP33" s="239"/>
      <c r="AQ33" s="239"/>
      <c r="AR33" s="239"/>
      <c r="AS33" s="239"/>
      <c r="AT33" s="239"/>
      <c r="AU33" s="239"/>
      <c r="AV33" s="239"/>
      <c r="AW33" s="239"/>
      <c r="AX33" s="239"/>
      <c r="AY33" s="239"/>
      <c r="AZ33" s="239"/>
      <c r="BA33" s="239"/>
      <c r="BB33" s="239"/>
      <c r="BC33" s="239"/>
      <c r="BD33" s="239"/>
      <c r="BE33" s="239"/>
      <c r="BF33" s="239"/>
      <c r="BG33" s="239"/>
      <c r="BH33" s="239"/>
      <c r="BI33" s="239"/>
      <c r="BJ33" s="239"/>
      <c r="BK33" s="239"/>
      <c r="BL33" s="239"/>
      <c r="BM33" s="239"/>
      <c r="BN33" s="239"/>
      <c r="BO33" s="239"/>
      <c r="BP33" s="239"/>
      <c r="BQ33" s="239"/>
      <c r="BR33" s="239"/>
      <c r="BS33" s="239"/>
      <c r="BT33" s="239"/>
      <c r="BU33" s="239"/>
      <c r="BV33" s="239"/>
      <c r="BW33" s="239"/>
      <c r="BX33" s="239"/>
      <c r="BY33" s="239"/>
      <c r="BZ33" s="239"/>
      <c r="CA33" s="239"/>
      <c r="CB33" s="239"/>
      <c r="CC33" s="239"/>
      <c r="CD33" s="239"/>
      <c r="CE33" s="239"/>
      <c r="CF33" s="239"/>
      <c r="CG33" s="239"/>
      <c r="CH33" s="239"/>
      <c r="CI33" s="239"/>
      <c r="CJ33" s="239"/>
      <c r="CK33" s="239"/>
      <c r="CL33" s="239"/>
      <c r="CM33" s="239"/>
      <c r="CN33" s="239"/>
      <c r="CO33" s="239"/>
      <c r="CP33" s="239"/>
      <c r="CQ33" s="239"/>
      <c r="CR33" s="239"/>
      <c r="CS33" s="239"/>
      <c r="CT33" s="239"/>
      <c r="CU33" s="239"/>
      <c r="CV33" s="239"/>
      <c r="CW33" s="239"/>
      <c r="CX33" s="239"/>
      <c r="CY33" s="239"/>
      <c r="CZ33" s="239"/>
      <c r="DA33" s="239"/>
      <c r="DB33" s="239"/>
      <c r="DC33" s="239"/>
      <c r="DD33" s="239"/>
      <c r="DE33" s="239"/>
      <c r="DF33" s="239"/>
      <c r="DG33" s="239"/>
      <c r="DH33" s="239"/>
      <c r="DI33" s="239"/>
      <c r="DJ33" s="239"/>
      <c r="DK33" s="239"/>
      <c r="DL33" s="239"/>
      <c r="DM33" s="239"/>
      <c r="DN33" s="239"/>
      <c r="DO33" s="239"/>
      <c r="DP33" s="239"/>
      <c r="DQ33" s="239"/>
      <c r="DR33" s="239"/>
      <c r="DS33" s="239"/>
      <c r="DT33" s="239"/>
      <c r="DU33" s="239"/>
      <c r="DV33" s="239"/>
      <c r="DW33" s="239"/>
      <c r="DX33" s="239"/>
      <c r="DY33" s="239"/>
      <c r="DZ33" s="239"/>
      <c r="EA33" s="239"/>
      <c r="EB33" s="239"/>
      <c r="EC33" s="239"/>
      <c r="ED33" s="239"/>
      <c r="EE33" s="239"/>
      <c r="EF33" s="239"/>
      <c r="EG33" s="239"/>
      <c r="EH33" s="239"/>
      <c r="EI33" s="239"/>
      <c r="EJ33" s="239"/>
      <c r="EK33" s="239"/>
      <c r="EL33" s="239"/>
      <c r="EM33" s="239"/>
      <c r="EN33" s="239"/>
      <c r="EO33" s="239"/>
      <c r="EP33" s="239"/>
      <c r="EQ33" s="239"/>
      <c r="ER33" s="239"/>
      <c r="ES33" s="239"/>
      <c r="ET33" s="239"/>
      <c r="EU33" s="239"/>
      <c r="EV33" s="239"/>
      <c r="EW33" s="239"/>
      <c r="EX33" s="239"/>
      <c r="EY33" s="239"/>
      <c r="EZ33" s="239"/>
      <c r="FA33" s="239"/>
      <c r="FB33" s="239"/>
      <c r="FC33" s="239"/>
      <c r="FD33" s="239"/>
      <c r="FE33" s="239"/>
      <c r="FF33" s="239"/>
      <c r="FG33" s="239"/>
      <c r="FH33" s="239"/>
      <c r="FI33" s="239"/>
      <c r="FJ33" s="239"/>
      <c r="FK33" s="239"/>
      <c r="FL33" s="239"/>
      <c r="FM33" s="239"/>
      <c r="FN33" s="239"/>
      <c r="FO33" s="239"/>
      <c r="FP33" s="239"/>
      <c r="FQ33" s="239"/>
      <c r="FR33" s="239"/>
      <c r="FS33" s="239"/>
      <c r="FT33" s="239"/>
      <c r="FU33" s="239"/>
      <c r="FV33" s="239"/>
      <c r="FW33" s="239"/>
    </row>
    <row r="34" spans="1:179" s="236" customFormat="1" ht="18">
      <c r="A34" s="251">
        <v>2</v>
      </c>
      <c r="B34" s="247">
        <v>4</v>
      </c>
      <c r="C34" s="247">
        <v>8</v>
      </c>
      <c r="D34" s="247">
        <v>12</v>
      </c>
      <c r="E34" s="252">
        <v>33</v>
      </c>
      <c r="F34" s="252">
        <v>47</v>
      </c>
      <c r="G34" s="252">
        <v>61</v>
      </c>
      <c r="H34" s="252">
        <v>82</v>
      </c>
      <c r="I34" s="252">
        <v>104</v>
      </c>
      <c r="J34" s="252">
        <v>134</v>
      </c>
      <c r="K34" s="252">
        <v>170</v>
      </c>
      <c r="L34" s="252">
        <v>230</v>
      </c>
      <c r="M34" s="252">
        <v>310</v>
      </c>
      <c r="N34" s="252">
        <v>380</v>
      </c>
      <c r="O34" s="252">
        <v>460</v>
      </c>
      <c r="P34" s="252">
        <v>630</v>
      </c>
      <c r="Q34" s="252">
        <v>800</v>
      </c>
      <c r="R34" s="252">
        <v>1080</v>
      </c>
      <c r="S34" s="252">
        <v>1750</v>
      </c>
      <c r="T34" s="259"/>
      <c r="U34" s="259"/>
      <c r="V34" s="253">
        <v>2</v>
      </c>
      <c r="W34" s="254">
        <v>12</v>
      </c>
      <c r="X34" s="254">
        <v>18</v>
      </c>
      <c r="Y34" s="254">
        <v>19.5</v>
      </c>
      <c r="Z34" s="254">
        <v>26</v>
      </c>
      <c r="AA34" s="254">
        <v>30</v>
      </c>
      <c r="AB34" s="254">
        <v>32</v>
      </c>
      <c r="AC34" s="254">
        <v>41</v>
      </c>
      <c r="AD34" s="254">
        <v>54</v>
      </c>
      <c r="AE34" s="254">
        <v>70</v>
      </c>
      <c r="AF34" s="254">
        <v>74</v>
      </c>
      <c r="AG34" s="254">
        <v>110</v>
      </c>
      <c r="AH34" s="254">
        <v>136</v>
      </c>
      <c r="AI34" s="254">
        <v>175</v>
      </c>
      <c r="AJ34" s="254">
        <v>230</v>
      </c>
      <c r="AK34" s="254">
        <v>250</v>
      </c>
      <c r="AL34" s="254">
        <v>360</v>
      </c>
      <c r="AN34" s="239"/>
      <c r="AO34" s="239"/>
      <c r="AP34" s="239"/>
      <c r="AQ34" s="239"/>
      <c r="AR34" s="239"/>
      <c r="AS34" s="239"/>
      <c r="AT34" s="239"/>
      <c r="AU34" s="239"/>
      <c r="AV34" s="239"/>
      <c r="AW34" s="239"/>
      <c r="AX34" s="239"/>
      <c r="AY34" s="239"/>
      <c r="AZ34" s="239"/>
      <c r="BA34" s="239"/>
      <c r="BB34" s="239"/>
      <c r="BC34" s="239"/>
      <c r="BD34" s="239"/>
      <c r="BE34" s="239"/>
      <c r="BF34" s="239"/>
      <c r="BG34" s="239"/>
      <c r="BH34" s="239"/>
      <c r="BI34" s="239"/>
      <c r="BJ34" s="239"/>
      <c r="BK34" s="239"/>
      <c r="BL34" s="239"/>
      <c r="BM34" s="239"/>
      <c r="BN34" s="239"/>
      <c r="BO34" s="239"/>
      <c r="BP34" s="239"/>
      <c r="BQ34" s="239"/>
      <c r="BR34" s="239"/>
      <c r="BS34" s="239"/>
      <c r="BT34" s="239"/>
      <c r="BU34" s="239"/>
      <c r="BV34" s="239"/>
      <c r="BW34" s="239"/>
      <c r="BX34" s="239"/>
      <c r="BY34" s="239"/>
      <c r="BZ34" s="239"/>
      <c r="CA34" s="239"/>
      <c r="CB34" s="239"/>
      <c r="CC34" s="239"/>
      <c r="CD34" s="239"/>
      <c r="CE34" s="239"/>
      <c r="CF34" s="239"/>
      <c r="CG34" s="239"/>
      <c r="CH34" s="239"/>
      <c r="CI34" s="239"/>
      <c r="CJ34" s="239"/>
      <c r="CK34" s="239"/>
      <c r="CL34" s="239"/>
      <c r="CM34" s="239"/>
      <c r="CN34" s="239"/>
      <c r="CO34" s="239"/>
      <c r="CP34" s="239"/>
      <c r="CQ34" s="239"/>
      <c r="CR34" s="239"/>
      <c r="CS34" s="239"/>
      <c r="CT34" s="239"/>
      <c r="CU34" s="239"/>
      <c r="CV34" s="239"/>
      <c r="CW34" s="239"/>
      <c r="CX34" s="239"/>
      <c r="CY34" s="239"/>
      <c r="CZ34" s="239"/>
      <c r="DA34" s="239"/>
      <c r="DB34" s="239"/>
      <c r="DC34" s="239"/>
      <c r="DD34" s="239"/>
      <c r="DE34" s="239"/>
      <c r="DF34" s="239"/>
      <c r="DG34" s="239"/>
      <c r="DH34" s="239"/>
      <c r="DI34" s="239"/>
      <c r="DJ34" s="239"/>
      <c r="DK34" s="239"/>
      <c r="DL34" s="239"/>
      <c r="DM34" s="239"/>
      <c r="DN34" s="239"/>
      <c r="DO34" s="239"/>
      <c r="DP34" s="239"/>
      <c r="DQ34" s="239"/>
      <c r="DR34" s="239"/>
      <c r="DS34" s="239"/>
      <c r="DT34" s="239"/>
      <c r="DU34" s="239"/>
      <c r="DV34" s="239"/>
      <c r="DW34" s="239"/>
      <c r="DX34" s="239"/>
      <c r="DY34" s="239"/>
      <c r="DZ34" s="239"/>
      <c r="EA34" s="239"/>
      <c r="EB34" s="239"/>
      <c r="EC34" s="239"/>
      <c r="ED34" s="239"/>
      <c r="EE34" s="239"/>
      <c r="EF34" s="239"/>
      <c r="EG34" s="239"/>
      <c r="EH34" s="239"/>
      <c r="EI34" s="239"/>
      <c r="EJ34" s="239"/>
      <c r="EK34" s="239"/>
      <c r="EL34" s="239"/>
      <c r="EM34" s="239"/>
      <c r="EN34" s="239"/>
      <c r="EO34" s="239"/>
      <c r="EP34" s="239"/>
      <c r="EQ34" s="239"/>
      <c r="ER34" s="239"/>
      <c r="ES34" s="239"/>
      <c r="ET34" s="239"/>
      <c r="EU34" s="239"/>
      <c r="EV34" s="239"/>
      <c r="EW34" s="239"/>
      <c r="EX34" s="239"/>
      <c r="EY34" s="239"/>
      <c r="EZ34" s="239"/>
      <c r="FA34" s="239"/>
      <c r="FB34" s="239"/>
      <c r="FC34" s="239"/>
      <c r="FD34" s="239"/>
      <c r="FE34" s="239"/>
      <c r="FF34" s="239"/>
      <c r="FG34" s="239"/>
      <c r="FH34" s="239"/>
      <c r="FI34" s="239"/>
      <c r="FJ34" s="239"/>
      <c r="FK34" s="239"/>
      <c r="FL34" s="239"/>
      <c r="FM34" s="239"/>
      <c r="FN34" s="239"/>
      <c r="FO34" s="239"/>
      <c r="FP34" s="239"/>
      <c r="FQ34" s="239"/>
      <c r="FR34" s="239"/>
      <c r="FS34" s="239"/>
      <c r="FT34" s="239"/>
      <c r="FU34" s="239"/>
      <c r="FV34" s="239"/>
      <c r="FW34" s="239"/>
    </row>
    <row r="35" spans="1:179" s="236" customFormat="1" ht="18">
      <c r="A35" s="251">
        <v>1</v>
      </c>
      <c r="B35" s="255">
        <v>5.4</v>
      </c>
      <c r="C35" s="255">
        <v>10</v>
      </c>
      <c r="D35" s="255">
        <v>14.5</v>
      </c>
      <c r="E35" s="255">
        <v>45</v>
      </c>
      <c r="F35" s="255">
        <v>65</v>
      </c>
      <c r="G35" s="255">
        <v>84</v>
      </c>
      <c r="H35" s="255">
        <v>110</v>
      </c>
      <c r="I35" s="255">
        <v>145</v>
      </c>
      <c r="J35" s="255">
        <v>185</v>
      </c>
      <c r="K35" s="255">
        <v>240</v>
      </c>
      <c r="L35" s="255">
        <v>330</v>
      </c>
      <c r="M35" s="255">
        <v>425</v>
      </c>
      <c r="N35" s="255">
        <v>540</v>
      </c>
      <c r="O35" s="255">
        <v>650</v>
      </c>
      <c r="P35" s="255">
        <v>890</v>
      </c>
      <c r="Q35" s="255">
        <v>1100</v>
      </c>
      <c r="R35" s="255">
        <v>1500</v>
      </c>
      <c r="S35" s="255">
        <v>2400</v>
      </c>
      <c r="T35" s="259"/>
      <c r="U35" s="259"/>
      <c r="V35" s="253">
        <v>1</v>
      </c>
      <c r="W35" s="254">
        <v>14</v>
      </c>
      <c r="X35" s="254">
        <v>19.5</v>
      </c>
      <c r="Y35" s="254">
        <v>21</v>
      </c>
      <c r="Z35" s="254">
        <v>29</v>
      </c>
      <c r="AA35" s="254">
        <v>33</v>
      </c>
      <c r="AB35" s="254">
        <v>35</v>
      </c>
      <c r="AC35" s="254">
        <v>45</v>
      </c>
      <c r="AD35" s="254">
        <v>58</v>
      </c>
      <c r="AE35" s="254">
        <v>75</v>
      </c>
      <c r="AF35" s="254">
        <v>81</v>
      </c>
      <c r="AG35" s="254">
        <v>121</v>
      </c>
      <c r="AH35" s="254">
        <v>152</v>
      </c>
      <c r="AI35" s="254">
        <v>200</v>
      </c>
      <c r="AJ35" s="254">
        <v>260</v>
      </c>
      <c r="AK35" s="254">
        <v>290</v>
      </c>
      <c r="AL35" s="254">
        <v>440</v>
      </c>
      <c r="AN35" s="239"/>
      <c r="AO35" s="239"/>
      <c r="AP35" s="239"/>
      <c r="AQ35" s="239"/>
      <c r="AR35" s="239"/>
      <c r="AS35" s="239"/>
      <c r="AT35" s="239"/>
      <c r="AU35" s="239"/>
      <c r="AV35" s="239"/>
      <c r="AW35" s="239"/>
      <c r="AX35" s="239"/>
      <c r="AY35" s="239"/>
      <c r="AZ35" s="239"/>
      <c r="BA35" s="239"/>
      <c r="BB35" s="239"/>
      <c r="BC35" s="239"/>
      <c r="BD35" s="239"/>
      <c r="BE35" s="239"/>
      <c r="BF35" s="239"/>
      <c r="BG35" s="239"/>
      <c r="BH35" s="239"/>
      <c r="BI35" s="239"/>
      <c r="BJ35" s="239"/>
      <c r="BK35" s="239"/>
      <c r="BL35" s="239"/>
      <c r="BM35" s="239"/>
      <c r="BN35" s="239"/>
      <c r="BO35" s="239"/>
      <c r="BP35" s="239"/>
      <c r="BQ35" s="239"/>
      <c r="BR35" s="239"/>
      <c r="BS35" s="239"/>
      <c r="BT35" s="239"/>
      <c r="BU35" s="239"/>
      <c r="BV35" s="239"/>
      <c r="BW35" s="239"/>
      <c r="BX35" s="239"/>
      <c r="BY35" s="239"/>
      <c r="BZ35" s="239"/>
      <c r="CA35" s="239"/>
      <c r="CB35" s="239"/>
      <c r="CC35" s="239"/>
      <c r="CD35" s="239"/>
      <c r="CE35" s="239"/>
      <c r="CF35" s="239"/>
      <c r="CG35" s="239"/>
      <c r="CH35" s="239"/>
      <c r="CI35" s="239"/>
      <c r="CJ35" s="239"/>
      <c r="CK35" s="239"/>
      <c r="CL35" s="239"/>
      <c r="CM35" s="239"/>
      <c r="CN35" s="239"/>
      <c r="CO35" s="239"/>
      <c r="CP35" s="239"/>
      <c r="CQ35" s="239"/>
      <c r="CR35" s="239"/>
      <c r="CS35" s="239"/>
      <c r="CT35" s="239"/>
      <c r="CU35" s="239"/>
      <c r="CV35" s="239"/>
      <c r="CW35" s="239"/>
      <c r="CX35" s="239"/>
      <c r="CY35" s="239"/>
      <c r="CZ35" s="239"/>
      <c r="DA35" s="239"/>
      <c r="DB35" s="239"/>
      <c r="DC35" s="239"/>
      <c r="DD35" s="239"/>
      <c r="DE35" s="239"/>
      <c r="DF35" s="239"/>
      <c r="DG35" s="239"/>
      <c r="DH35" s="239"/>
      <c r="DI35" s="239"/>
      <c r="DJ35" s="239"/>
      <c r="DK35" s="239"/>
      <c r="DL35" s="239"/>
      <c r="DM35" s="239"/>
      <c r="DN35" s="239"/>
      <c r="DO35" s="239"/>
      <c r="DP35" s="239"/>
      <c r="DQ35" s="239"/>
      <c r="DR35" s="239"/>
      <c r="DS35" s="239"/>
      <c r="DT35" s="239"/>
      <c r="DU35" s="239"/>
      <c r="DV35" s="239"/>
      <c r="DW35" s="239"/>
      <c r="DX35" s="239"/>
      <c r="DY35" s="239"/>
      <c r="DZ35" s="239"/>
      <c r="EA35" s="239"/>
      <c r="EB35" s="239"/>
      <c r="EC35" s="239"/>
      <c r="ED35" s="239"/>
      <c r="EE35" s="239"/>
      <c r="EF35" s="239"/>
      <c r="EG35" s="239"/>
      <c r="EH35" s="239"/>
      <c r="EI35" s="239"/>
      <c r="EJ35" s="239"/>
      <c r="EK35" s="239"/>
      <c r="EL35" s="239"/>
      <c r="EM35" s="239"/>
      <c r="EN35" s="239"/>
      <c r="EO35" s="239"/>
      <c r="EP35" s="239"/>
      <c r="EQ35" s="239"/>
      <c r="ER35" s="239"/>
      <c r="ES35" s="239"/>
      <c r="ET35" s="239"/>
      <c r="EU35" s="239"/>
      <c r="EV35" s="239"/>
      <c r="EW35" s="239"/>
      <c r="EX35" s="239"/>
      <c r="EY35" s="239"/>
      <c r="EZ35" s="239"/>
      <c r="FA35" s="239"/>
      <c r="FB35" s="239"/>
      <c r="FC35" s="239"/>
      <c r="FD35" s="239"/>
      <c r="FE35" s="239"/>
      <c r="FF35" s="239"/>
      <c r="FG35" s="239"/>
      <c r="FH35" s="239"/>
      <c r="FI35" s="239"/>
      <c r="FJ35" s="239"/>
      <c r="FK35" s="239"/>
      <c r="FL35" s="239"/>
      <c r="FM35" s="239"/>
      <c r="FN35" s="239"/>
      <c r="FO35" s="239"/>
      <c r="FP35" s="239"/>
      <c r="FQ35" s="239"/>
      <c r="FR35" s="239"/>
      <c r="FS35" s="239"/>
      <c r="FT35" s="239"/>
      <c r="FU35" s="239"/>
      <c r="FV35" s="239"/>
      <c r="FW35" s="239"/>
    </row>
    <row r="36" spans="1:179" s="236" customFormat="1" ht="18">
      <c r="A36" s="251">
        <v>0.5</v>
      </c>
      <c r="B36" s="255">
        <v>7.2</v>
      </c>
      <c r="C36" s="255">
        <v>14.8</v>
      </c>
      <c r="D36" s="255">
        <v>24</v>
      </c>
      <c r="E36" s="255">
        <v>65</v>
      </c>
      <c r="F36" s="255">
        <v>90</v>
      </c>
      <c r="G36" s="255">
        <v>120</v>
      </c>
      <c r="H36" s="255">
        <v>170</v>
      </c>
      <c r="I36" s="255">
        <v>210</v>
      </c>
      <c r="J36" s="255">
        <v>270</v>
      </c>
      <c r="K36" s="255">
        <v>350</v>
      </c>
      <c r="L36" s="255">
        <v>450</v>
      </c>
      <c r="M36" s="255">
        <v>600</v>
      </c>
      <c r="N36" s="255">
        <v>750</v>
      </c>
      <c r="O36" s="255">
        <v>900</v>
      </c>
      <c r="P36" s="255">
        <v>1200</v>
      </c>
      <c r="Q36" s="255">
        <v>1500</v>
      </c>
      <c r="R36" s="255">
        <v>2100</v>
      </c>
      <c r="S36" s="255">
        <v>3500</v>
      </c>
      <c r="T36" s="259"/>
      <c r="U36" s="259"/>
      <c r="V36" s="253">
        <v>0.5</v>
      </c>
      <c r="W36" s="254">
        <v>18.7</v>
      </c>
      <c r="X36" s="254">
        <v>23.5</v>
      </c>
      <c r="Y36" s="254">
        <v>25.5</v>
      </c>
      <c r="Z36" s="254">
        <v>35</v>
      </c>
      <c r="AA36" s="254">
        <v>40</v>
      </c>
      <c r="AB36" s="254">
        <v>43</v>
      </c>
      <c r="AC36" s="254">
        <v>53</v>
      </c>
      <c r="AD36" s="254">
        <v>70</v>
      </c>
      <c r="AE36" s="254">
        <v>90</v>
      </c>
      <c r="AF36" s="254">
        <v>97</v>
      </c>
      <c r="AG36" s="254">
        <v>150</v>
      </c>
      <c r="AH36" s="254">
        <v>182</v>
      </c>
      <c r="AI36" s="254">
        <v>240</v>
      </c>
      <c r="AJ36" s="254">
        <v>310</v>
      </c>
      <c r="AK36" s="254">
        <v>360</v>
      </c>
      <c r="AL36" s="254">
        <v>560</v>
      </c>
      <c r="AN36" s="239"/>
      <c r="AO36" s="239"/>
      <c r="AP36" s="239"/>
      <c r="AQ36" s="239"/>
      <c r="AR36" s="239"/>
      <c r="AS36" s="239"/>
      <c r="AT36" s="239"/>
      <c r="AU36" s="239"/>
      <c r="AV36" s="239"/>
      <c r="AW36" s="239"/>
      <c r="AX36" s="239"/>
      <c r="AY36" s="239"/>
      <c r="AZ36" s="239"/>
      <c r="BA36" s="239"/>
      <c r="BB36" s="239"/>
      <c r="BC36" s="239"/>
      <c r="BD36" s="239"/>
      <c r="BE36" s="239"/>
      <c r="BF36" s="239"/>
      <c r="BG36" s="239"/>
      <c r="BH36" s="239"/>
      <c r="BI36" s="239"/>
      <c r="BJ36" s="239"/>
      <c r="BK36" s="239"/>
      <c r="BL36" s="239"/>
      <c r="BM36" s="239"/>
      <c r="BN36" s="239"/>
      <c r="BO36" s="239"/>
      <c r="BP36" s="239"/>
      <c r="BQ36" s="239"/>
      <c r="BR36" s="239"/>
      <c r="BS36" s="239"/>
      <c r="BT36" s="239"/>
      <c r="BU36" s="239"/>
      <c r="BV36" s="239"/>
      <c r="BW36" s="239"/>
      <c r="BX36" s="239"/>
      <c r="BY36" s="239"/>
      <c r="BZ36" s="239"/>
      <c r="CA36" s="239"/>
      <c r="CB36" s="239"/>
      <c r="CC36" s="239"/>
      <c r="CD36" s="239"/>
      <c r="CE36" s="239"/>
      <c r="CF36" s="239"/>
      <c r="CG36" s="239"/>
      <c r="CH36" s="239"/>
      <c r="CI36" s="239"/>
      <c r="CJ36" s="239"/>
      <c r="CK36" s="239"/>
      <c r="CL36" s="239"/>
      <c r="CM36" s="239"/>
      <c r="CN36" s="239"/>
      <c r="CO36" s="239"/>
      <c r="CP36" s="239"/>
      <c r="CQ36" s="239"/>
      <c r="CR36" s="239"/>
      <c r="CS36" s="239"/>
      <c r="CT36" s="239"/>
      <c r="CU36" s="239"/>
      <c r="CV36" s="239"/>
      <c r="CW36" s="239"/>
      <c r="CX36" s="239"/>
      <c r="CY36" s="239"/>
      <c r="CZ36" s="239"/>
      <c r="DA36" s="239"/>
      <c r="DB36" s="239"/>
      <c r="DC36" s="239"/>
      <c r="DD36" s="239"/>
      <c r="DE36" s="239"/>
      <c r="DF36" s="239"/>
      <c r="DG36" s="239"/>
      <c r="DH36" s="239"/>
      <c r="DI36" s="239"/>
      <c r="DJ36" s="239"/>
      <c r="DK36" s="239"/>
      <c r="DL36" s="239"/>
      <c r="DM36" s="239"/>
      <c r="DN36" s="239"/>
      <c r="DO36" s="239"/>
      <c r="DP36" s="239"/>
      <c r="DQ36" s="239"/>
      <c r="DR36" s="239"/>
      <c r="DS36" s="239"/>
      <c r="DT36" s="239"/>
      <c r="DU36" s="239"/>
      <c r="DV36" s="239"/>
      <c r="DW36" s="239"/>
      <c r="DX36" s="239"/>
      <c r="DY36" s="239"/>
      <c r="DZ36" s="239"/>
      <c r="EA36" s="239"/>
      <c r="EB36" s="239"/>
      <c r="EC36" s="239"/>
      <c r="ED36" s="239"/>
      <c r="EE36" s="239"/>
      <c r="EF36" s="239"/>
      <c r="EG36" s="239"/>
      <c r="EH36" s="239"/>
      <c r="EI36" s="239"/>
      <c r="EJ36" s="239"/>
      <c r="EK36" s="239"/>
      <c r="EL36" s="239"/>
      <c r="EM36" s="239"/>
      <c r="EN36" s="239"/>
      <c r="EO36" s="239"/>
      <c r="EP36" s="239"/>
      <c r="EQ36" s="239"/>
      <c r="ER36" s="239"/>
      <c r="ES36" s="239"/>
      <c r="ET36" s="239"/>
      <c r="EU36" s="239"/>
      <c r="EV36" s="239"/>
      <c r="EW36" s="239"/>
      <c r="EX36" s="239"/>
      <c r="EY36" s="239"/>
      <c r="EZ36" s="239"/>
      <c r="FA36" s="239"/>
      <c r="FB36" s="239"/>
      <c r="FC36" s="239"/>
      <c r="FD36" s="239"/>
      <c r="FE36" s="239"/>
      <c r="FF36" s="239"/>
      <c r="FG36" s="239"/>
      <c r="FH36" s="239"/>
      <c r="FI36" s="239"/>
      <c r="FJ36" s="239"/>
      <c r="FK36" s="239"/>
      <c r="FL36" s="239"/>
      <c r="FM36" s="239"/>
      <c r="FN36" s="239"/>
      <c r="FO36" s="239"/>
      <c r="FP36" s="239"/>
      <c r="FQ36" s="239"/>
      <c r="FR36" s="239"/>
      <c r="FS36" s="239"/>
      <c r="FT36" s="239"/>
      <c r="FU36" s="239"/>
      <c r="FV36" s="239"/>
      <c r="FW36" s="239"/>
    </row>
    <row r="37" spans="1:179" s="236" customFormat="1" ht="18">
      <c r="A37" s="251">
        <v>0.1</v>
      </c>
      <c r="B37" s="247">
        <v>20</v>
      </c>
      <c r="C37" s="247">
        <v>41</v>
      </c>
      <c r="D37" s="247">
        <v>60</v>
      </c>
      <c r="E37" s="252">
        <v>154</v>
      </c>
      <c r="F37" s="252">
        <v>220</v>
      </c>
      <c r="G37" s="252">
        <v>285</v>
      </c>
      <c r="H37" s="252">
        <v>385</v>
      </c>
      <c r="I37" s="252">
        <v>500</v>
      </c>
      <c r="J37" s="252">
        <v>640</v>
      </c>
      <c r="K37" s="252">
        <v>820</v>
      </c>
      <c r="L37" s="252">
        <v>1090</v>
      </c>
      <c r="M37" s="252">
        <v>1400</v>
      </c>
      <c r="N37" s="252">
        <v>1760</v>
      </c>
      <c r="O37" s="252">
        <v>2250</v>
      </c>
      <c r="P37" s="252">
        <v>2800</v>
      </c>
      <c r="Q37" s="252">
        <v>3500</v>
      </c>
      <c r="R37" s="252">
        <v>5300</v>
      </c>
      <c r="S37" s="252">
        <v>8600</v>
      </c>
      <c r="T37" s="259"/>
      <c r="U37" s="259"/>
      <c r="V37" s="253">
        <v>0.1</v>
      </c>
      <c r="W37" s="254">
        <v>45</v>
      </c>
      <c r="X37" s="254">
        <v>50</v>
      </c>
      <c r="Y37" s="254">
        <v>52</v>
      </c>
      <c r="Z37" s="254">
        <v>74</v>
      </c>
      <c r="AA37" s="254">
        <v>84</v>
      </c>
      <c r="AB37" s="254">
        <v>90</v>
      </c>
      <c r="AC37" s="254">
        <v>110</v>
      </c>
      <c r="AD37" s="254">
        <v>140</v>
      </c>
      <c r="AE37" s="254">
        <v>190</v>
      </c>
      <c r="AF37" s="254">
        <v>210</v>
      </c>
      <c r="AG37" s="254">
        <v>315</v>
      </c>
      <c r="AH37" s="254">
        <v>370</v>
      </c>
      <c r="AI37" s="254">
        <v>475</v>
      </c>
      <c r="AJ37" s="254">
        <v>630</v>
      </c>
      <c r="AK37" s="254">
        <v>730</v>
      </c>
      <c r="AL37" s="254">
        <v>1150</v>
      </c>
      <c r="AN37" s="239"/>
      <c r="AO37" s="239"/>
      <c r="AP37" s="239"/>
      <c r="AQ37" s="239"/>
      <c r="AR37" s="239"/>
      <c r="AS37" s="239"/>
      <c r="AT37" s="239"/>
      <c r="AU37" s="239"/>
      <c r="AV37" s="239"/>
      <c r="AW37" s="239"/>
      <c r="AX37" s="239"/>
      <c r="AY37" s="239"/>
      <c r="AZ37" s="239"/>
      <c r="BA37" s="239"/>
      <c r="BB37" s="239"/>
      <c r="BC37" s="239"/>
      <c r="BD37" s="239"/>
      <c r="BE37" s="239"/>
      <c r="BF37" s="239"/>
      <c r="BG37" s="239"/>
      <c r="BH37" s="239"/>
      <c r="BI37" s="239"/>
      <c r="BJ37" s="239"/>
      <c r="BK37" s="239"/>
      <c r="BL37" s="239"/>
      <c r="BM37" s="239"/>
      <c r="BN37" s="239"/>
      <c r="BO37" s="239"/>
      <c r="BP37" s="239"/>
      <c r="BQ37" s="239"/>
      <c r="BR37" s="239"/>
      <c r="BS37" s="239"/>
      <c r="BT37" s="239"/>
      <c r="BU37" s="239"/>
      <c r="BV37" s="239"/>
      <c r="BW37" s="239"/>
      <c r="BX37" s="239"/>
      <c r="BY37" s="239"/>
      <c r="BZ37" s="239"/>
      <c r="CA37" s="239"/>
      <c r="CB37" s="239"/>
      <c r="CC37" s="239"/>
      <c r="CD37" s="239"/>
      <c r="CE37" s="239"/>
      <c r="CF37" s="239"/>
      <c r="CG37" s="239"/>
      <c r="CH37" s="239"/>
      <c r="CI37" s="239"/>
      <c r="CJ37" s="239"/>
      <c r="CK37" s="239"/>
      <c r="CL37" s="239"/>
      <c r="CM37" s="239"/>
      <c r="CN37" s="239"/>
      <c r="CO37" s="239"/>
      <c r="CP37" s="239"/>
      <c r="CQ37" s="239"/>
      <c r="CR37" s="239"/>
      <c r="CS37" s="239"/>
      <c r="CT37" s="239"/>
      <c r="CU37" s="239"/>
      <c r="CV37" s="239"/>
      <c r="CW37" s="239"/>
      <c r="CX37" s="239"/>
      <c r="CY37" s="239"/>
      <c r="CZ37" s="239"/>
      <c r="DA37" s="239"/>
      <c r="DB37" s="239"/>
      <c r="DC37" s="239"/>
      <c r="DD37" s="239"/>
      <c r="DE37" s="239"/>
      <c r="DF37" s="239"/>
      <c r="DG37" s="239"/>
      <c r="DH37" s="239"/>
      <c r="DI37" s="239"/>
      <c r="DJ37" s="239"/>
      <c r="DK37" s="239"/>
      <c r="DL37" s="239"/>
      <c r="DM37" s="239"/>
      <c r="DN37" s="239"/>
      <c r="DO37" s="239"/>
      <c r="DP37" s="239"/>
      <c r="DQ37" s="239"/>
      <c r="DR37" s="239"/>
      <c r="DS37" s="239"/>
      <c r="DT37" s="239"/>
      <c r="DU37" s="239"/>
      <c r="DV37" s="239"/>
      <c r="DW37" s="239"/>
      <c r="DX37" s="239"/>
      <c r="DY37" s="239"/>
      <c r="DZ37" s="239"/>
      <c r="EA37" s="239"/>
      <c r="EB37" s="239"/>
      <c r="EC37" s="239"/>
      <c r="ED37" s="239"/>
      <c r="EE37" s="239"/>
      <c r="EF37" s="239"/>
      <c r="EG37" s="239"/>
      <c r="EH37" s="239"/>
      <c r="EI37" s="239"/>
      <c r="EJ37" s="239"/>
      <c r="EK37" s="239"/>
      <c r="EL37" s="239"/>
      <c r="EM37" s="239"/>
      <c r="EN37" s="239"/>
      <c r="EO37" s="239"/>
      <c r="EP37" s="239"/>
      <c r="EQ37" s="239"/>
      <c r="ER37" s="239"/>
      <c r="ES37" s="239"/>
      <c r="ET37" s="239"/>
      <c r="EU37" s="239"/>
      <c r="EV37" s="239"/>
      <c r="EW37" s="239"/>
      <c r="EX37" s="239"/>
      <c r="EY37" s="239"/>
      <c r="EZ37" s="239"/>
      <c r="FA37" s="239"/>
      <c r="FB37" s="239"/>
      <c r="FC37" s="239"/>
      <c r="FD37" s="239"/>
      <c r="FE37" s="239"/>
      <c r="FF37" s="239"/>
      <c r="FG37" s="239"/>
      <c r="FH37" s="239"/>
      <c r="FI37" s="239"/>
      <c r="FJ37" s="239"/>
      <c r="FK37" s="239"/>
      <c r="FL37" s="239"/>
      <c r="FM37" s="239"/>
      <c r="FN37" s="239"/>
      <c r="FO37" s="239"/>
      <c r="FP37" s="239"/>
      <c r="FQ37" s="239"/>
      <c r="FR37" s="239"/>
      <c r="FS37" s="239"/>
      <c r="FT37" s="239"/>
      <c r="FU37" s="239"/>
      <c r="FV37" s="239"/>
      <c r="FW37" s="239"/>
    </row>
    <row r="38" spans="1:179" s="236" customFormat="1" ht="18">
      <c r="A38" s="251">
        <v>0.09</v>
      </c>
      <c r="B38" s="247">
        <v>21.5</v>
      </c>
      <c r="C38" s="247">
        <v>44</v>
      </c>
      <c r="D38" s="247">
        <v>64</v>
      </c>
      <c r="E38" s="252">
        <v>165</v>
      </c>
      <c r="F38" s="252">
        <v>234</v>
      </c>
      <c r="G38" s="252">
        <v>310</v>
      </c>
      <c r="H38" s="252">
        <v>420</v>
      </c>
      <c r="I38" s="252">
        <v>530</v>
      </c>
      <c r="J38" s="252">
        <v>690</v>
      </c>
      <c r="K38" s="252">
        <v>880</v>
      </c>
      <c r="L38" s="252">
        <v>1150</v>
      </c>
      <c r="M38" s="252">
        <v>1500</v>
      </c>
      <c r="N38" s="252">
        <v>1850</v>
      </c>
      <c r="O38" s="252">
        <v>2360</v>
      </c>
      <c r="P38" s="252">
        <v>3000</v>
      </c>
      <c r="Q38" s="252">
        <v>3700</v>
      </c>
      <c r="R38" s="252">
        <v>5800</v>
      </c>
      <c r="S38" s="252">
        <v>9200</v>
      </c>
      <c r="T38" s="259"/>
      <c r="U38" s="259"/>
      <c r="V38" s="253">
        <v>0.09</v>
      </c>
      <c r="W38" s="254">
        <v>48</v>
      </c>
      <c r="X38" s="254">
        <v>54</v>
      </c>
      <c r="Y38" s="254">
        <v>56</v>
      </c>
      <c r="Z38" s="254">
        <v>80</v>
      </c>
      <c r="AA38" s="254">
        <v>90</v>
      </c>
      <c r="AB38" s="254">
        <v>98</v>
      </c>
      <c r="AC38" s="254">
        <v>116</v>
      </c>
      <c r="AD38" s="254">
        <v>150</v>
      </c>
      <c r="AE38" s="254">
        <v>200</v>
      </c>
      <c r="AF38" s="254">
        <v>225</v>
      </c>
      <c r="AG38" s="254">
        <v>335</v>
      </c>
      <c r="AH38" s="254">
        <v>390</v>
      </c>
      <c r="AI38" s="254">
        <v>510</v>
      </c>
      <c r="AJ38" s="254">
        <v>680</v>
      </c>
      <c r="AK38" s="254">
        <v>780</v>
      </c>
      <c r="AL38" s="254">
        <v>1240</v>
      </c>
      <c r="AN38" s="239"/>
      <c r="AO38" s="239"/>
      <c r="AP38" s="239"/>
      <c r="AQ38" s="239"/>
      <c r="AR38" s="239"/>
      <c r="AS38" s="239"/>
      <c r="AT38" s="239"/>
      <c r="AU38" s="239"/>
      <c r="AV38" s="239"/>
      <c r="AW38" s="239"/>
      <c r="AX38" s="239"/>
      <c r="AY38" s="239"/>
      <c r="AZ38" s="239"/>
      <c r="BA38" s="239"/>
      <c r="BB38" s="239"/>
      <c r="BC38" s="239"/>
      <c r="BD38" s="239"/>
      <c r="BE38" s="239"/>
      <c r="BF38" s="239"/>
      <c r="BG38" s="239"/>
      <c r="BH38" s="239"/>
      <c r="BI38" s="239"/>
      <c r="BJ38" s="239"/>
      <c r="BK38" s="239"/>
      <c r="BL38" s="239"/>
      <c r="BM38" s="239"/>
      <c r="BN38" s="239"/>
      <c r="BO38" s="239"/>
      <c r="BP38" s="239"/>
      <c r="BQ38" s="239"/>
      <c r="BR38" s="239"/>
      <c r="BS38" s="239"/>
      <c r="BT38" s="239"/>
      <c r="BU38" s="239"/>
      <c r="BV38" s="239"/>
      <c r="BW38" s="239"/>
      <c r="BX38" s="239"/>
      <c r="BY38" s="239"/>
      <c r="BZ38" s="239"/>
      <c r="CA38" s="239"/>
      <c r="CB38" s="239"/>
      <c r="CC38" s="239"/>
      <c r="CD38" s="239"/>
      <c r="CE38" s="239"/>
      <c r="CF38" s="239"/>
      <c r="CG38" s="239"/>
      <c r="CH38" s="239"/>
      <c r="CI38" s="239"/>
      <c r="CJ38" s="239"/>
      <c r="CK38" s="239"/>
      <c r="CL38" s="239"/>
      <c r="CM38" s="239"/>
      <c r="CN38" s="239"/>
      <c r="CO38" s="239"/>
      <c r="CP38" s="239"/>
      <c r="CQ38" s="239"/>
      <c r="CR38" s="239"/>
      <c r="CS38" s="239"/>
      <c r="CT38" s="239"/>
      <c r="CU38" s="239"/>
      <c r="CV38" s="239"/>
      <c r="CW38" s="239"/>
      <c r="CX38" s="239"/>
      <c r="CY38" s="239"/>
      <c r="CZ38" s="239"/>
      <c r="DA38" s="239"/>
      <c r="DB38" s="239"/>
      <c r="DC38" s="239"/>
      <c r="DD38" s="239"/>
      <c r="DE38" s="239"/>
      <c r="DF38" s="239"/>
      <c r="DG38" s="239"/>
      <c r="DH38" s="239"/>
      <c r="DI38" s="239"/>
      <c r="DJ38" s="239"/>
      <c r="DK38" s="239"/>
      <c r="DL38" s="239"/>
      <c r="DM38" s="239"/>
      <c r="DN38" s="239"/>
      <c r="DO38" s="239"/>
      <c r="DP38" s="239"/>
      <c r="DQ38" s="239"/>
      <c r="DR38" s="239"/>
      <c r="DS38" s="239"/>
      <c r="DT38" s="239"/>
      <c r="DU38" s="239"/>
      <c r="DV38" s="239"/>
      <c r="DW38" s="239"/>
      <c r="DX38" s="239"/>
      <c r="DY38" s="239"/>
      <c r="DZ38" s="239"/>
      <c r="EA38" s="239"/>
      <c r="EB38" s="239"/>
      <c r="EC38" s="239"/>
      <c r="ED38" s="239"/>
      <c r="EE38" s="239"/>
      <c r="EF38" s="239"/>
      <c r="EG38" s="239"/>
      <c r="EH38" s="239"/>
      <c r="EI38" s="239"/>
      <c r="EJ38" s="239"/>
      <c r="EK38" s="239"/>
      <c r="EL38" s="239"/>
      <c r="EM38" s="239"/>
      <c r="EN38" s="239"/>
      <c r="EO38" s="239"/>
      <c r="EP38" s="239"/>
      <c r="EQ38" s="239"/>
      <c r="ER38" s="239"/>
      <c r="ES38" s="239"/>
      <c r="ET38" s="239"/>
      <c r="EU38" s="239"/>
      <c r="EV38" s="239"/>
      <c r="EW38" s="239"/>
      <c r="EX38" s="239"/>
      <c r="EY38" s="239"/>
      <c r="EZ38" s="239"/>
      <c r="FA38" s="239"/>
      <c r="FB38" s="239"/>
      <c r="FC38" s="239"/>
      <c r="FD38" s="239"/>
      <c r="FE38" s="239"/>
      <c r="FF38" s="239"/>
      <c r="FG38" s="239"/>
      <c r="FH38" s="239"/>
      <c r="FI38" s="239"/>
      <c r="FJ38" s="239"/>
      <c r="FK38" s="239"/>
      <c r="FL38" s="239"/>
      <c r="FM38" s="239"/>
      <c r="FN38" s="239"/>
      <c r="FO38" s="239"/>
      <c r="FP38" s="239"/>
      <c r="FQ38" s="239"/>
      <c r="FR38" s="239"/>
      <c r="FS38" s="239"/>
      <c r="FT38" s="239"/>
      <c r="FU38" s="239"/>
      <c r="FV38" s="239"/>
      <c r="FW38" s="239"/>
    </row>
    <row r="39" spans="1:179" s="236" customFormat="1" ht="18">
      <c r="A39" s="251">
        <v>0.08</v>
      </c>
      <c r="B39" s="247">
        <v>23.5</v>
      </c>
      <c r="C39" s="247">
        <v>47.5</v>
      </c>
      <c r="D39" s="247">
        <v>70</v>
      </c>
      <c r="E39" s="252">
        <v>178</v>
      </c>
      <c r="F39" s="252">
        <v>250</v>
      </c>
      <c r="G39" s="252">
        <v>330</v>
      </c>
      <c r="H39" s="252">
        <v>445</v>
      </c>
      <c r="I39" s="252">
        <v>570</v>
      </c>
      <c r="J39" s="252">
        <v>740</v>
      </c>
      <c r="K39" s="252">
        <v>940</v>
      </c>
      <c r="L39" s="252">
        <v>1230</v>
      </c>
      <c r="M39" s="252">
        <v>1610</v>
      </c>
      <c r="N39" s="252">
        <v>2000</v>
      </c>
      <c r="O39" s="252">
        <v>2500</v>
      </c>
      <c r="P39" s="252">
        <v>3200</v>
      </c>
      <c r="Q39" s="252">
        <v>4000</v>
      </c>
      <c r="R39" s="252">
        <v>6200</v>
      </c>
      <c r="S39" s="252">
        <v>10000</v>
      </c>
      <c r="T39" s="259"/>
      <c r="U39" s="259"/>
      <c r="V39" s="253">
        <v>0.08</v>
      </c>
      <c r="W39" s="254">
        <v>52</v>
      </c>
      <c r="X39" s="254">
        <v>58</v>
      </c>
      <c r="Y39" s="254">
        <v>61</v>
      </c>
      <c r="Z39" s="254">
        <v>85</v>
      </c>
      <c r="AA39" s="254">
        <v>97</v>
      </c>
      <c r="AB39" s="254">
        <v>105</v>
      </c>
      <c r="AC39" s="254">
        <v>124</v>
      </c>
      <c r="AD39" s="254">
        <v>160</v>
      </c>
      <c r="AE39" s="254">
        <v>220</v>
      </c>
      <c r="AF39" s="254">
        <v>240</v>
      </c>
      <c r="AG39" s="254">
        <v>360</v>
      </c>
      <c r="AH39" s="254">
        <v>420</v>
      </c>
      <c r="AI39" s="254">
        <v>550</v>
      </c>
      <c r="AJ39" s="254">
        <v>720</v>
      </c>
      <c r="AK39" s="254">
        <v>840</v>
      </c>
      <c r="AL39" s="254">
        <v>1300</v>
      </c>
      <c r="AN39" s="239"/>
      <c r="AO39" s="239"/>
      <c r="AP39" s="239"/>
      <c r="AQ39" s="239"/>
      <c r="AR39" s="239"/>
      <c r="AS39" s="239"/>
      <c r="AT39" s="239"/>
      <c r="AU39" s="239"/>
      <c r="AV39" s="239"/>
      <c r="AW39" s="239"/>
      <c r="AX39" s="239"/>
      <c r="AY39" s="239"/>
      <c r="AZ39" s="239"/>
      <c r="BA39" s="239"/>
      <c r="BB39" s="239"/>
      <c r="BC39" s="239"/>
      <c r="BD39" s="239"/>
      <c r="BE39" s="239"/>
      <c r="BF39" s="239"/>
      <c r="BG39" s="239"/>
      <c r="BH39" s="239"/>
      <c r="BI39" s="239"/>
      <c r="BJ39" s="239"/>
      <c r="BK39" s="239"/>
      <c r="BL39" s="239"/>
      <c r="BM39" s="239"/>
      <c r="BN39" s="239"/>
      <c r="BO39" s="239"/>
      <c r="BP39" s="239"/>
      <c r="BQ39" s="239"/>
      <c r="BR39" s="239"/>
      <c r="BS39" s="239"/>
      <c r="BT39" s="239"/>
      <c r="BU39" s="239"/>
      <c r="BV39" s="239"/>
      <c r="BW39" s="239"/>
      <c r="BX39" s="239"/>
      <c r="BY39" s="239"/>
      <c r="BZ39" s="239"/>
      <c r="CA39" s="239"/>
      <c r="CB39" s="239"/>
      <c r="CC39" s="239"/>
      <c r="CD39" s="239"/>
      <c r="CE39" s="239"/>
      <c r="CF39" s="239"/>
      <c r="CG39" s="239"/>
      <c r="CH39" s="239"/>
      <c r="CI39" s="239"/>
      <c r="CJ39" s="239"/>
      <c r="CK39" s="239"/>
      <c r="CL39" s="239"/>
      <c r="CM39" s="239"/>
      <c r="CN39" s="239"/>
      <c r="CO39" s="239"/>
      <c r="CP39" s="239"/>
      <c r="CQ39" s="239"/>
      <c r="CR39" s="239"/>
      <c r="CS39" s="239"/>
      <c r="CT39" s="239"/>
      <c r="CU39" s="239"/>
      <c r="CV39" s="239"/>
      <c r="CW39" s="239"/>
      <c r="CX39" s="239"/>
      <c r="CY39" s="239"/>
      <c r="CZ39" s="239"/>
      <c r="DA39" s="239"/>
      <c r="DB39" s="239"/>
      <c r="DC39" s="239"/>
      <c r="DD39" s="239"/>
      <c r="DE39" s="239"/>
      <c r="DF39" s="239"/>
      <c r="DG39" s="239"/>
      <c r="DH39" s="239"/>
      <c r="DI39" s="239"/>
      <c r="DJ39" s="239"/>
      <c r="DK39" s="239"/>
      <c r="DL39" s="239"/>
      <c r="DM39" s="239"/>
      <c r="DN39" s="239"/>
      <c r="DO39" s="239"/>
      <c r="DP39" s="239"/>
      <c r="DQ39" s="239"/>
      <c r="DR39" s="239"/>
      <c r="DS39" s="239"/>
      <c r="DT39" s="239"/>
      <c r="DU39" s="239"/>
      <c r="DV39" s="239"/>
      <c r="DW39" s="239"/>
      <c r="DX39" s="239"/>
      <c r="DY39" s="239"/>
      <c r="DZ39" s="239"/>
      <c r="EA39" s="239"/>
      <c r="EB39" s="239"/>
      <c r="EC39" s="239"/>
      <c r="ED39" s="239"/>
      <c r="EE39" s="239"/>
      <c r="EF39" s="239"/>
      <c r="EG39" s="239"/>
      <c r="EH39" s="239"/>
      <c r="EI39" s="239"/>
      <c r="EJ39" s="239"/>
      <c r="EK39" s="239"/>
      <c r="EL39" s="239"/>
      <c r="EM39" s="239"/>
      <c r="EN39" s="239"/>
      <c r="EO39" s="239"/>
      <c r="EP39" s="239"/>
      <c r="EQ39" s="239"/>
      <c r="ER39" s="239"/>
      <c r="ES39" s="239"/>
      <c r="ET39" s="239"/>
      <c r="EU39" s="239"/>
      <c r="EV39" s="239"/>
      <c r="EW39" s="239"/>
      <c r="EX39" s="239"/>
      <c r="EY39" s="239"/>
      <c r="EZ39" s="239"/>
      <c r="FA39" s="239"/>
      <c r="FB39" s="239"/>
      <c r="FC39" s="239"/>
      <c r="FD39" s="239"/>
      <c r="FE39" s="239"/>
      <c r="FF39" s="239"/>
      <c r="FG39" s="239"/>
      <c r="FH39" s="239"/>
      <c r="FI39" s="239"/>
      <c r="FJ39" s="239"/>
      <c r="FK39" s="239"/>
      <c r="FL39" s="239"/>
      <c r="FM39" s="239"/>
      <c r="FN39" s="239"/>
      <c r="FO39" s="239"/>
      <c r="FP39" s="239"/>
      <c r="FQ39" s="239"/>
      <c r="FR39" s="239"/>
      <c r="FS39" s="239"/>
      <c r="FT39" s="239"/>
      <c r="FU39" s="239"/>
      <c r="FV39" s="239"/>
      <c r="FW39" s="239"/>
    </row>
    <row r="40" spans="1:179" s="236" customFormat="1" ht="18">
      <c r="A40" s="251">
        <v>7.0000000000000007E-2</v>
      </c>
      <c r="B40" s="247">
        <v>26</v>
      </c>
      <c r="C40" s="247">
        <v>51.5</v>
      </c>
      <c r="D40" s="247">
        <v>76</v>
      </c>
      <c r="E40" s="252">
        <v>190</v>
      </c>
      <c r="F40" s="252">
        <v>270</v>
      </c>
      <c r="G40" s="252">
        <v>360</v>
      </c>
      <c r="H40" s="252">
        <v>480</v>
      </c>
      <c r="I40" s="252">
        <v>620</v>
      </c>
      <c r="J40" s="252">
        <v>800</v>
      </c>
      <c r="K40" s="252">
        <v>1000</v>
      </c>
      <c r="L40" s="252">
        <v>1340</v>
      </c>
      <c r="M40" s="252">
        <v>1720</v>
      </c>
      <c r="N40" s="252">
        <v>2200</v>
      </c>
      <c r="O40" s="252">
        <v>2800</v>
      </c>
      <c r="P40" s="252">
        <v>3400</v>
      </c>
      <c r="Q40" s="252">
        <v>4300</v>
      </c>
      <c r="R40" s="252">
        <v>6800</v>
      </c>
      <c r="S40" s="252">
        <v>10000</v>
      </c>
      <c r="T40" s="259"/>
      <c r="U40" s="259"/>
      <c r="V40" s="253">
        <v>7.0000000000000007E-2</v>
      </c>
      <c r="W40" s="254">
        <v>57</v>
      </c>
      <c r="X40" s="254">
        <v>61</v>
      </c>
      <c r="Y40" s="254">
        <v>66</v>
      </c>
      <c r="Z40" s="254">
        <v>90</v>
      </c>
      <c r="AA40" s="254">
        <v>105</v>
      </c>
      <c r="AB40" s="254">
        <v>113</v>
      </c>
      <c r="AC40" s="254">
        <v>135</v>
      </c>
      <c r="AD40" s="254">
        <v>175</v>
      </c>
      <c r="AE40" s="254">
        <v>235</v>
      </c>
      <c r="AF40" s="254">
        <v>260</v>
      </c>
      <c r="AG40" s="254">
        <v>385</v>
      </c>
      <c r="AH40" s="254">
        <v>450</v>
      </c>
      <c r="AI40" s="254">
        <v>590</v>
      </c>
      <c r="AJ40" s="254">
        <v>780</v>
      </c>
      <c r="AK40" s="254">
        <v>910</v>
      </c>
      <c r="AL40" s="254">
        <v>1400</v>
      </c>
      <c r="AN40" s="239"/>
      <c r="AO40" s="239"/>
      <c r="AP40" s="239"/>
      <c r="AQ40" s="239"/>
      <c r="AR40" s="239"/>
      <c r="AS40" s="239"/>
      <c r="AT40" s="239"/>
      <c r="AU40" s="239"/>
      <c r="AV40" s="239"/>
      <c r="AW40" s="239"/>
      <c r="AX40" s="239"/>
      <c r="AY40" s="239"/>
      <c r="AZ40" s="239"/>
      <c r="BA40" s="239"/>
      <c r="BB40" s="239"/>
      <c r="BC40" s="239"/>
      <c r="BD40" s="239"/>
      <c r="BE40" s="239"/>
      <c r="BF40" s="239"/>
      <c r="BG40" s="239"/>
      <c r="BH40" s="239"/>
      <c r="BI40" s="239"/>
      <c r="BJ40" s="239"/>
      <c r="BK40" s="239"/>
      <c r="BL40" s="239"/>
      <c r="BM40" s="239"/>
      <c r="BN40" s="239"/>
      <c r="BO40" s="239"/>
      <c r="BP40" s="239"/>
      <c r="BQ40" s="239"/>
      <c r="BR40" s="239"/>
      <c r="BS40" s="239"/>
      <c r="BT40" s="239"/>
      <c r="BU40" s="239"/>
      <c r="BV40" s="239"/>
      <c r="BW40" s="239"/>
      <c r="BX40" s="239"/>
      <c r="BY40" s="239"/>
      <c r="BZ40" s="239"/>
      <c r="CA40" s="239"/>
      <c r="CB40" s="239"/>
      <c r="CC40" s="239"/>
      <c r="CD40" s="239"/>
      <c r="CE40" s="239"/>
      <c r="CF40" s="239"/>
      <c r="CG40" s="239"/>
      <c r="CH40" s="239"/>
      <c r="CI40" s="239"/>
      <c r="CJ40" s="239"/>
      <c r="CK40" s="239"/>
      <c r="CL40" s="239"/>
      <c r="CM40" s="239"/>
      <c r="CN40" s="239"/>
      <c r="CO40" s="239"/>
      <c r="CP40" s="239"/>
      <c r="CQ40" s="239"/>
      <c r="CR40" s="239"/>
      <c r="CS40" s="239"/>
      <c r="CT40" s="239"/>
      <c r="CU40" s="239"/>
      <c r="CV40" s="239"/>
      <c r="CW40" s="239"/>
      <c r="CX40" s="239"/>
      <c r="CY40" s="239"/>
      <c r="CZ40" s="239"/>
      <c r="DA40" s="239"/>
      <c r="DB40" s="239"/>
      <c r="DC40" s="239"/>
      <c r="DD40" s="239"/>
      <c r="DE40" s="239"/>
      <c r="DF40" s="239"/>
      <c r="DG40" s="239"/>
      <c r="DH40" s="239"/>
      <c r="DI40" s="239"/>
      <c r="DJ40" s="239"/>
      <c r="DK40" s="239"/>
      <c r="DL40" s="239"/>
      <c r="DM40" s="239"/>
      <c r="DN40" s="239"/>
      <c r="DO40" s="239"/>
      <c r="DP40" s="239"/>
      <c r="DQ40" s="239"/>
      <c r="DR40" s="239"/>
      <c r="DS40" s="239"/>
      <c r="DT40" s="239"/>
      <c r="DU40" s="239"/>
      <c r="DV40" s="239"/>
      <c r="DW40" s="239"/>
      <c r="DX40" s="239"/>
      <c r="DY40" s="239"/>
      <c r="DZ40" s="239"/>
      <c r="EA40" s="239"/>
      <c r="EB40" s="239"/>
      <c r="EC40" s="239"/>
      <c r="ED40" s="239"/>
      <c r="EE40" s="239"/>
      <c r="EF40" s="239"/>
      <c r="EG40" s="239"/>
      <c r="EH40" s="239"/>
      <c r="EI40" s="239"/>
      <c r="EJ40" s="239"/>
      <c r="EK40" s="239"/>
      <c r="EL40" s="239"/>
      <c r="EM40" s="239"/>
      <c r="EN40" s="239"/>
      <c r="EO40" s="239"/>
      <c r="EP40" s="239"/>
      <c r="EQ40" s="239"/>
      <c r="ER40" s="239"/>
      <c r="ES40" s="239"/>
      <c r="ET40" s="239"/>
      <c r="EU40" s="239"/>
      <c r="EV40" s="239"/>
      <c r="EW40" s="239"/>
      <c r="EX40" s="239"/>
      <c r="EY40" s="239"/>
      <c r="EZ40" s="239"/>
      <c r="FA40" s="239"/>
      <c r="FB40" s="239"/>
      <c r="FC40" s="239"/>
      <c r="FD40" s="239"/>
      <c r="FE40" s="239"/>
      <c r="FF40" s="239"/>
      <c r="FG40" s="239"/>
      <c r="FH40" s="239"/>
      <c r="FI40" s="239"/>
      <c r="FJ40" s="239"/>
      <c r="FK40" s="239"/>
      <c r="FL40" s="239"/>
      <c r="FM40" s="239"/>
      <c r="FN40" s="239"/>
      <c r="FO40" s="239"/>
      <c r="FP40" s="239"/>
      <c r="FQ40" s="239"/>
      <c r="FR40" s="239"/>
      <c r="FS40" s="239"/>
      <c r="FT40" s="239"/>
      <c r="FU40" s="239"/>
      <c r="FV40" s="239"/>
      <c r="FW40" s="239"/>
    </row>
    <row r="41" spans="1:179" s="236" customFormat="1" ht="18">
      <c r="A41" s="251">
        <v>0.06</v>
      </c>
      <c r="B41" s="247">
        <v>29</v>
      </c>
      <c r="C41" s="247">
        <v>59</v>
      </c>
      <c r="D41" s="247">
        <v>85</v>
      </c>
      <c r="E41" s="252">
        <v>210</v>
      </c>
      <c r="F41" s="252">
        <v>295</v>
      </c>
      <c r="G41" s="252">
        <v>390</v>
      </c>
      <c r="H41" s="252">
        <v>520</v>
      </c>
      <c r="I41" s="252">
        <v>680</v>
      </c>
      <c r="J41" s="252">
        <v>870</v>
      </c>
      <c r="K41" s="252">
        <v>1100</v>
      </c>
      <c r="L41" s="252">
        <v>1460</v>
      </c>
      <c r="M41" s="252">
        <v>1900</v>
      </c>
      <c r="N41" s="252">
        <v>2400</v>
      </c>
      <c r="O41" s="252">
        <v>3000</v>
      </c>
      <c r="P41" s="252">
        <v>3800</v>
      </c>
      <c r="Q41" s="252">
        <v>4700</v>
      </c>
      <c r="R41" s="252">
        <v>7400</v>
      </c>
      <c r="S41" s="252">
        <v>10000</v>
      </c>
      <c r="T41" s="259"/>
      <c r="U41" s="259"/>
      <c r="V41" s="253">
        <v>0.06</v>
      </c>
      <c r="W41" s="254">
        <v>64</v>
      </c>
      <c r="X41" s="254">
        <v>68</v>
      </c>
      <c r="Y41" s="254">
        <v>72</v>
      </c>
      <c r="Z41" s="254">
        <v>100</v>
      </c>
      <c r="AA41" s="254">
        <v>113</v>
      </c>
      <c r="AB41" s="254">
        <v>125</v>
      </c>
      <c r="AC41" s="254">
        <v>145</v>
      </c>
      <c r="AD41" s="254">
        <v>190</v>
      </c>
      <c r="AE41" s="254">
        <v>255</v>
      </c>
      <c r="AF41" s="254">
        <v>285</v>
      </c>
      <c r="AG41" s="254">
        <v>420</v>
      </c>
      <c r="AH41" s="254">
        <v>500</v>
      </c>
      <c r="AI41" s="254">
        <v>640</v>
      </c>
      <c r="AJ41" s="254">
        <v>850</v>
      </c>
      <c r="AK41" s="254">
        <v>1000</v>
      </c>
      <c r="AL41" s="254">
        <v>1650</v>
      </c>
      <c r="AN41" s="239"/>
      <c r="AO41" s="239"/>
      <c r="AP41" s="239"/>
      <c r="AQ41" s="239"/>
      <c r="AR41" s="239"/>
      <c r="AS41" s="239"/>
      <c r="AT41" s="239"/>
      <c r="AU41" s="239"/>
      <c r="AV41" s="239"/>
      <c r="AW41" s="239"/>
      <c r="AX41" s="239"/>
      <c r="AY41" s="239"/>
      <c r="AZ41" s="239"/>
      <c r="BA41" s="239"/>
      <c r="BB41" s="239"/>
      <c r="BC41" s="239"/>
      <c r="BD41" s="239"/>
      <c r="BE41" s="239"/>
      <c r="BF41" s="239"/>
      <c r="BG41" s="239"/>
      <c r="BH41" s="239"/>
      <c r="BI41" s="239"/>
      <c r="BJ41" s="239"/>
      <c r="BK41" s="239"/>
      <c r="BL41" s="239"/>
      <c r="BM41" s="239"/>
      <c r="BN41" s="239"/>
      <c r="BO41" s="239"/>
      <c r="BP41" s="239"/>
      <c r="BQ41" s="239"/>
      <c r="BR41" s="239"/>
      <c r="BS41" s="239"/>
      <c r="BT41" s="239"/>
      <c r="BU41" s="239"/>
      <c r="BV41" s="239"/>
      <c r="BW41" s="239"/>
      <c r="BX41" s="239"/>
      <c r="BY41" s="239"/>
      <c r="BZ41" s="239"/>
      <c r="CA41" s="239"/>
      <c r="CB41" s="239"/>
      <c r="CC41" s="239"/>
      <c r="CD41" s="239"/>
      <c r="CE41" s="239"/>
      <c r="CF41" s="239"/>
      <c r="CG41" s="239"/>
      <c r="CH41" s="239"/>
      <c r="CI41" s="239"/>
      <c r="CJ41" s="239"/>
      <c r="CK41" s="239"/>
      <c r="CL41" s="239"/>
      <c r="CM41" s="239"/>
      <c r="CN41" s="239"/>
      <c r="CO41" s="239"/>
      <c r="CP41" s="239"/>
      <c r="CQ41" s="239"/>
      <c r="CR41" s="239"/>
      <c r="CS41" s="239"/>
      <c r="CT41" s="239"/>
      <c r="CU41" s="239"/>
      <c r="CV41" s="239"/>
      <c r="CW41" s="239"/>
      <c r="CX41" s="239"/>
      <c r="CY41" s="239"/>
      <c r="CZ41" s="239"/>
      <c r="DA41" s="239"/>
      <c r="DB41" s="239"/>
      <c r="DC41" s="239"/>
      <c r="DD41" s="239"/>
      <c r="DE41" s="239"/>
      <c r="DF41" s="239"/>
      <c r="DG41" s="239"/>
      <c r="DH41" s="239"/>
      <c r="DI41" s="239"/>
      <c r="DJ41" s="239"/>
      <c r="DK41" s="239"/>
      <c r="DL41" s="239"/>
      <c r="DM41" s="239"/>
      <c r="DN41" s="239"/>
      <c r="DO41" s="239"/>
      <c r="DP41" s="239"/>
      <c r="DQ41" s="239"/>
      <c r="DR41" s="239"/>
      <c r="DS41" s="239"/>
      <c r="DT41" s="239"/>
      <c r="DU41" s="239"/>
      <c r="DV41" s="239"/>
      <c r="DW41" s="239"/>
      <c r="DX41" s="239"/>
      <c r="DY41" s="239"/>
      <c r="DZ41" s="239"/>
      <c r="EA41" s="239"/>
      <c r="EB41" s="239"/>
      <c r="EC41" s="239"/>
      <c r="ED41" s="239"/>
      <c r="EE41" s="239"/>
      <c r="EF41" s="239"/>
      <c r="EG41" s="239"/>
      <c r="EH41" s="239"/>
      <c r="EI41" s="239"/>
      <c r="EJ41" s="239"/>
      <c r="EK41" s="239"/>
      <c r="EL41" s="239"/>
      <c r="EM41" s="239"/>
      <c r="EN41" s="239"/>
      <c r="EO41" s="239"/>
      <c r="EP41" s="239"/>
      <c r="EQ41" s="239"/>
      <c r="ER41" s="239"/>
      <c r="ES41" s="239"/>
      <c r="ET41" s="239"/>
      <c r="EU41" s="239"/>
      <c r="EV41" s="239"/>
      <c r="EW41" s="239"/>
      <c r="EX41" s="239"/>
      <c r="EY41" s="239"/>
      <c r="EZ41" s="239"/>
      <c r="FA41" s="239"/>
      <c r="FB41" s="239"/>
      <c r="FC41" s="239"/>
      <c r="FD41" s="239"/>
      <c r="FE41" s="239"/>
      <c r="FF41" s="239"/>
      <c r="FG41" s="239"/>
      <c r="FH41" s="239"/>
      <c r="FI41" s="239"/>
      <c r="FJ41" s="239"/>
      <c r="FK41" s="239"/>
      <c r="FL41" s="239"/>
      <c r="FM41" s="239"/>
      <c r="FN41" s="239"/>
      <c r="FO41" s="239"/>
      <c r="FP41" s="239"/>
      <c r="FQ41" s="239"/>
      <c r="FR41" s="239"/>
      <c r="FS41" s="239"/>
      <c r="FT41" s="239"/>
      <c r="FU41" s="239"/>
      <c r="FV41" s="239"/>
      <c r="FW41" s="239"/>
    </row>
    <row r="42" spans="1:179" s="236" customFormat="1" ht="18">
      <c r="A42" s="251">
        <v>0.05</v>
      </c>
      <c r="B42" s="247">
        <v>33.5</v>
      </c>
      <c r="C42" s="247">
        <v>68</v>
      </c>
      <c r="D42" s="247">
        <v>98</v>
      </c>
      <c r="E42" s="252">
        <v>235</v>
      </c>
      <c r="F42" s="252">
        <v>330</v>
      </c>
      <c r="G42" s="252">
        <v>440</v>
      </c>
      <c r="H42" s="252">
        <v>590</v>
      </c>
      <c r="I42" s="252">
        <v>770</v>
      </c>
      <c r="J42" s="252">
        <v>980</v>
      </c>
      <c r="K42" s="252">
        <v>1250</v>
      </c>
      <c r="L42" s="252">
        <v>1650</v>
      </c>
      <c r="M42" s="252">
        <v>2200</v>
      </c>
      <c r="N42" s="252">
        <v>2700</v>
      </c>
      <c r="O42" s="252">
        <v>3400</v>
      </c>
      <c r="P42" s="252">
        <v>4300</v>
      </c>
      <c r="Q42" s="252">
        <v>5300</v>
      </c>
      <c r="R42" s="252">
        <v>8500</v>
      </c>
      <c r="S42" s="252">
        <v>10000</v>
      </c>
      <c r="T42" s="259"/>
      <c r="U42" s="259"/>
      <c r="V42" s="253">
        <v>0.05</v>
      </c>
      <c r="W42" s="254">
        <v>72</v>
      </c>
      <c r="X42" s="254">
        <v>78</v>
      </c>
      <c r="Y42" s="254">
        <v>83</v>
      </c>
      <c r="Z42" s="254">
        <v>113</v>
      </c>
      <c r="AA42" s="254">
        <v>128</v>
      </c>
      <c r="AB42" s="254">
        <v>140</v>
      </c>
      <c r="AC42" s="254">
        <v>160</v>
      </c>
      <c r="AD42" s="254">
        <v>210</v>
      </c>
      <c r="AE42" s="254">
        <v>290</v>
      </c>
      <c r="AF42" s="254">
        <v>320</v>
      </c>
      <c r="AG42" s="254">
        <v>470</v>
      </c>
      <c r="AH42" s="254">
        <v>550</v>
      </c>
      <c r="AI42" s="254">
        <v>720</v>
      </c>
      <c r="AJ42" s="254">
        <v>950</v>
      </c>
      <c r="AK42" s="254">
        <v>1100</v>
      </c>
      <c r="AL42" s="254">
        <v>1830</v>
      </c>
      <c r="AN42" s="239"/>
      <c r="AO42" s="239"/>
      <c r="AP42" s="239"/>
      <c r="AQ42" s="239"/>
      <c r="AR42" s="239"/>
      <c r="AS42" s="239"/>
      <c r="AT42" s="239"/>
      <c r="AU42" s="239"/>
      <c r="AV42" s="239"/>
      <c r="AW42" s="239"/>
      <c r="AX42" s="239"/>
      <c r="AY42" s="239"/>
      <c r="AZ42" s="239"/>
      <c r="BA42" s="239"/>
      <c r="BB42" s="239"/>
      <c r="BC42" s="239"/>
      <c r="BD42" s="239"/>
      <c r="BE42" s="239"/>
      <c r="BF42" s="239"/>
      <c r="BG42" s="239"/>
      <c r="BH42" s="239"/>
      <c r="BI42" s="239"/>
      <c r="BJ42" s="239"/>
      <c r="BK42" s="239"/>
      <c r="BL42" s="239"/>
      <c r="BM42" s="239"/>
      <c r="BN42" s="239"/>
      <c r="BO42" s="239"/>
      <c r="BP42" s="239"/>
      <c r="BQ42" s="239"/>
      <c r="BR42" s="239"/>
      <c r="BS42" s="239"/>
      <c r="BT42" s="239"/>
      <c r="BU42" s="239"/>
      <c r="BV42" s="239"/>
      <c r="BW42" s="239"/>
      <c r="BX42" s="239"/>
      <c r="BY42" s="239"/>
      <c r="BZ42" s="239"/>
      <c r="CA42" s="239"/>
      <c r="CB42" s="239"/>
      <c r="CC42" s="239"/>
      <c r="CD42" s="239"/>
      <c r="CE42" s="239"/>
      <c r="CF42" s="239"/>
      <c r="CG42" s="239"/>
      <c r="CH42" s="239"/>
      <c r="CI42" s="239"/>
      <c r="CJ42" s="239"/>
      <c r="CK42" s="239"/>
      <c r="CL42" s="239"/>
      <c r="CM42" s="239"/>
      <c r="CN42" s="239"/>
      <c r="CO42" s="239"/>
      <c r="CP42" s="239"/>
      <c r="CQ42" s="239"/>
      <c r="CR42" s="239"/>
      <c r="CS42" s="239"/>
      <c r="CT42" s="239"/>
      <c r="CU42" s="239"/>
      <c r="CV42" s="239"/>
      <c r="CW42" s="239"/>
      <c r="CX42" s="239"/>
      <c r="CY42" s="239"/>
      <c r="CZ42" s="239"/>
      <c r="DA42" s="239"/>
      <c r="DB42" s="239"/>
      <c r="DC42" s="239"/>
      <c r="DD42" s="239"/>
      <c r="DE42" s="239"/>
      <c r="DF42" s="239"/>
      <c r="DG42" s="239"/>
      <c r="DH42" s="239"/>
      <c r="DI42" s="239"/>
      <c r="DJ42" s="239"/>
      <c r="DK42" s="239"/>
      <c r="DL42" s="239"/>
      <c r="DM42" s="239"/>
      <c r="DN42" s="239"/>
      <c r="DO42" s="239"/>
      <c r="DP42" s="239"/>
      <c r="DQ42" s="239"/>
      <c r="DR42" s="239"/>
      <c r="DS42" s="239"/>
      <c r="DT42" s="239"/>
      <c r="DU42" s="239"/>
      <c r="DV42" s="239"/>
      <c r="DW42" s="239"/>
      <c r="DX42" s="239"/>
      <c r="DY42" s="239"/>
      <c r="DZ42" s="239"/>
      <c r="EA42" s="239"/>
      <c r="EB42" s="239"/>
      <c r="EC42" s="239"/>
      <c r="ED42" s="239"/>
      <c r="EE42" s="239"/>
      <c r="EF42" s="239"/>
      <c r="EG42" s="239"/>
      <c r="EH42" s="239"/>
      <c r="EI42" s="239"/>
      <c r="EJ42" s="239"/>
      <c r="EK42" s="239"/>
      <c r="EL42" s="239"/>
      <c r="EM42" s="239"/>
      <c r="EN42" s="239"/>
      <c r="EO42" s="239"/>
      <c r="EP42" s="239"/>
      <c r="EQ42" s="239"/>
      <c r="ER42" s="239"/>
      <c r="ES42" s="239"/>
      <c r="ET42" s="239"/>
      <c r="EU42" s="239"/>
      <c r="EV42" s="239"/>
      <c r="EW42" s="239"/>
      <c r="EX42" s="239"/>
      <c r="EY42" s="239"/>
      <c r="EZ42" s="239"/>
      <c r="FA42" s="239"/>
      <c r="FB42" s="239"/>
      <c r="FC42" s="239"/>
      <c r="FD42" s="239"/>
      <c r="FE42" s="239"/>
      <c r="FF42" s="239"/>
      <c r="FG42" s="239"/>
      <c r="FH42" s="239"/>
      <c r="FI42" s="239"/>
      <c r="FJ42" s="239"/>
      <c r="FK42" s="239"/>
      <c r="FL42" s="239"/>
      <c r="FM42" s="239"/>
      <c r="FN42" s="239"/>
      <c r="FO42" s="239"/>
      <c r="FP42" s="239"/>
      <c r="FQ42" s="239"/>
      <c r="FR42" s="239"/>
      <c r="FS42" s="239"/>
      <c r="FT42" s="239"/>
      <c r="FU42" s="239"/>
      <c r="FV42" s="239"/>
      <c r="FW42" s="239"/>
    </row>
    <row r="43" spans="1:179" s="236" customFormat="1" ht="18">
      <c r="A43" s="251">
        <v>0.04</v>
      </c>
      <c r="B43" s="247">
        <v>40</v>
      </c>
      <c r="C43" s="247">
        <v>80</v>
      </c>
      <c r="D43" s="247">
        <v>115</v>
      </c>
      <c r="E43" s="252">
        <v>275</v>
      </c>
      <c r="F43" s="252">
        <v>390</v>
      </c>
      <c r="G43" s="252">
        <v>510</v>
      </c>
      <c r="H43" s="252">
        <v>690</v>
      </c>
      <c r="I43" s="252">
        <v>900</v>
      </c>
      <c r="J43" s="252">
        <v>1150</v>
      </c>
      <c r="K43" s="252">
        <v>1450</v>
      </c>
      <c r="L43" s="252">
        <v>1900</v>
      </c>
      <c r="M43" s="252">
        <v>2500</v>
      </c>
      <c r="N43" s="252">
        <v>3150</v>
      </c>
      <c r="O43" s="252">
        <v>4000</v>
      </c>
      <c r="P43" s="252">
        <v>5000</v>
      </c>
      <c r="Q43" s="252">
        <v>6300</v>
      </c>
      <c r="R43" s="252">
        <v>10000</v>
      </c>
      <c r="S43" s="252">
        <v>10000</v>
      </c>
      <c r="T43" s="259"/>
      <c r="U43" s="259"/>
      <c r="V43" s="253">
        <v>0.04</v>
      </c>
      <c r="W43" s="254">
        <v>84</v>
      </c>
      <c r="X43" s="254">
        <v>94</v>
      </c>
      <c r="Y43" s="254">
        <v>98</v>
      </c>
      <c r="Z43" s="254">
        <v>130</v>
      </c>
      <c r="AA43" s="254">
        <v>150</v>
      </c>
      <c r="AB43" s="254">
        <v>165</v>
      </c>
      <c r="AC43" s="254">
        <v>185</v>
      </c>
      <c r="AD43" s="254">
        <v>245</v>
      </c>
      <c r="AE43" s="254">
        <v>340</v>
      </c>
      <c r="AF43" s="254">
        <v>375</v>
      </c>
      <c r="AG43" s="254">
        <v>550</v>
      </c>
      <c r="AH43" s="254">
        <v>650</v>
      </c>
      <c r="AI43" s="254">
        <v>840</v>
      </c>
      <c r="AJ43" s="254">
        <v>1100</v>
      </c>
      <c r="AK43" s="254">
        <v>1280</v>
      </c>
      <c r="AL43" s="254">
        <v>2050</v>
      </c>
      <c r="AN43" s="239"/>
      <c r="AO43" s="239"/>
      <c r="AP43" s="239"/>
      <c r="AQ43" s="239"/>
      <c r="AR43" s="239"/>
      <c r="AS43" s="239"/>
      <c r="AT43" s="239"/>
      <c r="AU43" s="239"/>
      <c r="AV43" s="239"/>
      <c r="AW43" s="239"/>
      <c r="AX43" s="239"/>
      <c r="AY43" s="239"/>
      <c r="AZ43" s="239"/>
      <c r="BA43" s="239"/>
      <c r="BB43" s="239"/>
      <c r="BC43" s="239"/>
      <c r="BD43" s="239"/>
      <c r="BE43" s="239"/>
      <c r="BF43" s="239"/>
      <c r="BG43" s="239"/>
      <c r="BH43" s="239"/>
      <c r="BI43" s="239"/>
      <c r="BJ43" s="239"/>
      <c r="BK43" s="239"/>
      <c r="BL43" s="239"/>
      <c r="BM43" s="239"/>
      <c r="BN43" s="239"/>
      <c r="BO43" s="239"/>
      <c r="BP43" s="239"/>
      <c r="BQ43" s="239"/>
      <c r="BR43" s="239"/>
      <c r="BS43" s="239"/>
      <c r="BT43" s="239"/>
      <c r="BU43" s="239"/>
      <c r="BV43" s="239"/>
      <c r="BW43" s="239"/>
      <c r="BX43" s="239"/>
      <c r="BY43" s="239"/>
      <c r="BZ43" s="239"/>
      <c r="CA43" s="239"/>
      <c r="CB43" s="239"/>
      <c r="CC43" s="239"/>
      <c r="CD43" s="239"/>
      <c r="CE43" s="239"/>
      <c r="CF43" s="239"/>
      <c r="CG43" s="239"/>
      <c r="CH43" s="239"/>
      <c r="CI43" s="239"/>
      <c r="CJ43" s="239"/>
      <c r="CK43" s="239"/>
      <c r="CL43" s="239"/>
      <c r="CM43" s="239"/>
      <c r="CN43" s="239"/>
      <c r="CO43" s="239"/>
      <c r="CP43" s="239"/>
      <c r="CQ43" s="239"/>
      <c r="CR43" s="239"/>
      <c r="CS43" s="239"/>
      <c r="CT43" s="239"/>
      <c r="CU43" s="239"/>
      <c r="CV43" s="239"/>
      <c r="CW43" s="239"/>
      <c r="CX43" s="239"/>
      <c r="CY43" s="239"/>
      <c r="CZ43" s="239"/>
      <c r="DA43" s="239"/>
      <c r="DB43" s="239"/>
      <c r="DC43" s="239"/>
      <c r="DD43" s="239"/>
      <c r="DE43" s="239"/>
      <c r="DF43" s="239"/>
      <c r="DG43" s="239"/>
      <c r="DH43" s="239"/>
      <c r="DI43" s="239"/>
      <c r="DJ43" s="239"/>
      <c r="DK43" s="239"/>
      <c r="DL43" s="239"/>
      <c r="DM43" s="239"/>
      <c r="DN43" s="239"/>
      <c r="DO43" s="239"/>
      <c r="DP43" s="239"/>
      <c r="DQ43" s="239"/>
      <c r="DR43" s="239"/>
      <c r="DS43" s="239"/>
      <c r="DT43" s="239"/>
      <c r="DU43" s="239"/>
      <c r="DV43" s="239"/>
      <c r="DW43" s="239"/>
      <c r="DX43" s="239"/>
      <c r="DY43" s="239"/>
      <c r="DZ43" s="239"/>
      <c r="EA43" s="239"/>
      <c r="EB43" s="239"/>
      <c r="EC43" s="239"/>
      <c r="ED43" s="239"/>
      <c r="EE43" s="239"/>
      <c r="EF43" s="239"/>
      <c r="EG43" s="239"/>
      <c r="EH43" s="239"/>
      <c r="EI43" s="239"/>
      <c r="EJ43" s="239"/>
      <c r="EK43" s="239"/>
      <c r="EL43" s="239"/>
      <c r="EM43" s="239"/>
      <c r="EN43" s="239"/>
      <c r="EO43" s="239"/>
      <c r="EP43" s="239"/>
      <c r="EQ43" s="239"/>
      <c r="ER43" s="239"/>
      <c r="ES43" s="239"/>
      <c r="ET43" s="239"/>
      <c r="EU43" s="239"/>
      <c r="EV43" s="239"/>
      <c r="EW43" s="239"/>
      <c r="EX43" s="239"/>
      <c r="EY43" s="239"/>
      <c r="EZ43" s="239"/>
      <c r="FA43" s="239"/>
      <c r="FB43" s="239"/>
      <c r="FC43" s="239"/>
      <c r="FD43" s="239"/>
      <c r="FE43" s="239"/>
      <c r="FF43" s="239"/>
      <c r="FG43" s="239"/>
      <c r="FH43" s="239"/>
      <c r="FI43" s="239"/>
      <c r="FJ43" s="239"/>
      <c r="FK43" s="239"/>
      <c r="FL43" s="239"/>
      <c r="FM43" s="239"/>
      <c r="FN43" s="239"/>
      <c r="FO43" s="239"/>
      <c r="FP43" s="239"/>
      <c r="FQ43" s="239"/>
      <c r="FR43" s="239"/>
      <c r="FS43" s="239"/>
      <c r="FT43" s="239"/>
      <c r="FU43" s="239"/>
      <c r="FV43" s="239"/>
      <c r="FW43" s="239"/>
    </row>
    <row r="44" spans="1:179" s="236" customFormat="1" ht="18">
      <c r="V44" s="241"/>
      <c r="W44" s="241"/>
      <c r="X44" s="241"/>
      <c r="Y44" s="241"/>
      <c r="Z44" s="241"/>
      <c r="AA44" s="241"/>
      <c r="AB44" s="241"/>
      <c r="AC44" s="241"/>
      <c r="AD44" s="241"/>
      <c r="AE44" s="241"/>
      <c r="AF44" s="241"/>
      <c r="AG44" s="241"/>
      <c r="AH44" s="241"/>
      <c r="AI44" s="241"/>
      <c r="AJ44" s="254"/>
      <c r="AK44" s="254" t="s">
        <v>894</v>
      </c>
      <c r="AL44" s="254"/>
      <c r="AN44" s="239"/>
      <c r="AO44" s="239"/>
      <c r="AP44" s="239"/>
      <c r="AQ44" s="239"/>
      <c r="AR44" s="239"/>
      <c r="AS44" s="239"/>
      <c r="AT44" s="239"/>
      <c r="AU44" s="239"/>
      <c r="AV44" s="239"/>
      <c r="AW44" s="239"/>
      <c r="AX44" s="239"/>
      <c r="AY44" s="239"/>
      <c r="AZ44" s="239"/>
      <c r="BA44" s="239"/>
      <c r="BB44" s="239"/>
      <c r="BC44" s="239"/>
      <c r="BD44" s="239"/>
      <c r="BE44" s="239"/>
      <c r="BF44" s="239"/>
      <c r="BG44" s="239"/>
      <c r="BH44" s="239"/>
      <c r="BI44" s="239"/>
      <c r="BJ44" s="239"/>
      <c r="BK44" s="239"/>
      <c r="BL44" s="239"/>
      <c r="BM44" s="239"/>
      <c r="BN44" s="239"/>
      <c r="BO44" s="239"/>
      <c r="BP44" s="239"/>
      <c r="BQ44" s="239"/>
      <c r="BR44" s="239"/>
      <c r="BS44" s="239"/>
      <c r="BT44" s="239"/>
      <c r="BU44" s="239"/>
      <c r="BV44" s="239"/>
      <c r="BW44" s="239"/>
      <c r="BX44" s="239"/>
      <c r="BY44" s="239"/>
      <c r="BZ44" s="239"/>
      <c r="CA44" s="239"/>
      <c r="CB44" s="239"/>
      <c r="CC44" s="239"/>
      <c r="CD44" s="239"/>
      <c r="CE44" s="239"/>
      <c r="CF44" s="239"/>
      <c r="CG44" s="239"/>
      <c r="CH44" s="239"/>
      <c r="CI44" s="239"/>
      <c r="CJ44" s="239"/>
      <c r="CK44" s="239"/>
      <c r="CL44" s="239"/>
      <c r="CM44" s="239"/>
      <c r="CN44" s="239"/>
      <c r="CO44" s="239"/>
      <c r="CP44" s="239"/>
      <c r="CQ44" s="239"/>
      <c r="CR44" s="239"/>
      <c r="CS44" s="239"/>
      <c r="CT44" s="239"/>
      <c r="CU44" s="239"/>
      <c r="CV44" s="239"/>
      <c r="CW44" s="239"/>
      <c r="CX44" s="239"/>
      <c r="CY44" s="239"/>
      <c r="CZ44" s="239"/>
      <c r="DA44" s="239"/>
      <c r="DB44" s="239"/>
      <c r="DC44" s="239"/>
      <c r="DD44" s="239"/>
      <c r="DE44" s="239"/>
      <c r="DF44" s="239"/>
      <c r="DG44" s="239"/>
      <c r="DH44" s="239"/>
      <c r="DI44" s="239"/>
      <c r="DJ44" s="239"/>
      <c r="DK44" s="239"/>
      <c r="DL44" s="239"/>
      <c r="DM44" s="239"/>
      <c r="DN44" s="239"/>
      <c r="DO44" s="239"/>
      <c r="DP44" s="239"/>
      <c r="DQ44" s="239"/>
      <c r="DR44" s="239"/>
      <c r="DS44" s="239"/>
      <c r="DT44" s="239"/>
      <c r="DU44" s="239"/>
      <c r="DV44" s="239"/>
      <c r="DW44" s="239"/>
      <c r="DX44" s="239"/>
      <c r="DY44" s="239"/>
      <c r="DZ44" s="239"/>
      <c r="EA44" s="239"/>
      <c r="EB44" s="239"/>
      <c r="EC44" s="239"/>
      <c r="ED44" s="239"/>
      <c r="EE44" s="239"/>
      <c r="EF44" s="239"/>
      <c r="EG44" s="239"/>
      <c r="EH44" s="239"/>
      <c r="EI44" s="239"/>
      <c r="EJ44" s="239"/>
      <c r="EK44" s="239"/>
      <c r="EL44" s="239"/>
      <c r="EM44" s="239"/>
      <c r="EN44" s="239"/>
      <c r="EO44" s="239"/>
      <c r="EP44" s="239"/>
      <c r="EQ44" s="239"/>
      <c r="ER44" s="239"/>
      <c r="ES44" s="239"/>
      <c r="ET44" s="239"/>
      <c r="EU44" s="239"/>
      <c r="EV44" s="239"/>
      <c r="EW44" s="239"/>
      <c r="EX44" s="239"/>
      <c r="EY44" s="239"/>
      <c r="EZ44" s="239"/>
      <c r="FA44" s="239"/>
      <c r="FB44" s="239"/>
      <c r="FC44" s="239"/>
      <c r="FD44" s="239"/>
      <c r="FE44" s="239"/>
      <c r="FF44" s="239"/>
      <c r="FG44" s="239"/>
      <c r="FH44" s="239"/>
      <c r="FI44" s="239"/>
      <c r="FJ44" s="239"/>
      <c r="FK44" s="239"/>
      <c r="FL44" s="239"/>
      <c r="FM44" s="239"/>
      <c r="FN44" s="239"/>
      <c r="FO44" s="239"/>
      <c r="FP44" s="239"/>
      <c r="FQ44" s="239"/>
      <c r="FR44" s="239"/>
      <c r="FS44" s="239"/>
      <c r="FT44" s="239"/>
      <c r="FU44" s="239"/>
      <c r="FV44" s="239"/>
      <c r="FW44" s="239"/>
    </row>
    <row r="45" spans="1:179" s="236" customFormat="1" ht="18">
      <c r="A45" s="260"/>
      <c r="B45" s="260"/>
      <c r="C45" s="260"/>
      <c r="D45" s="260"/>
      <c r="E45" s="260"/>
      <c r="F45" s="260"/>
      <c r="G45" s="260"/>
      <c r="H45" s="260"/>
      <c r="I45" s="260"/>
      <c r="J45" s="260"/>
      <c r="K45" s="260"/>
      <c r="L45" s="260"/>
      <c r="M45" s="260"/>
      <c r="N45" s="260"/>
      <c r="O45" s="260"/>
      <c r="P45" s="260"/>
      <c r="Q45" s="260"/>
      <c r="R45" s="260"/>
      <c r="S45" s="260"/>
      <c r="T45" s="260"/>
      <c r="W45" s="261"/>
      <c r="X45" s="261"/>
      <c r="Y45" s="261"/>
      <c r="Z45" s="261"/>
      <c r="AA45" s="261"/>
      <c r="AB45" s="261"/>
      <c r="AC45" s="261"/>
      <c r="AD45" s="261"/>
      <c r="AE45" s="261"/>
      <c r="AF45" s="261"/>
      <c r="AG45" s="261"/>
      <c r="AH45" s="261"/>
      <c r="AI45" s="261"/>
      <c r="AJ45" s="261"/>
      <c r="AK45" s="261"/>
      <c r="AL45" s="254"/>
      <c r="AN45" s="239"/>
      <c r="AO45" s="239"/>
      <c r="AP45" s="239"/>
      <c r="AQ45" s="239"/>
      <c r="AR45" s="239"/>
      <c r="AS45" s="239"/>
      <c r="AT45" s="239"/>
      <c r="AU45" s="239"/>
      <c r="AV45" s="239"/>
      <c r="AW45" s="239"/>
      <c r="AX45" s="239"/>
      <c r="AY45" s="239"/>
      <c r="AZ45" s="239"/>
      <c r="BA45" s="239"/>
      <c r="BB45" s="239"/>
      <c r="BC45" s="239"/>
      <c r="BD45" s="239"/>
      <c r="BE45" s="239"/>
      <c r="BF45" s="239"/>
      <c r="BG45" s="239"/>
      <c r="BH45" s="239"/>
      <c r="BI45" s="239"/>
      <c r="BJ45" s="239"/>
      <c r="BK45" s="239"/>
      <c r="BL45" s="239"/>
      <c r="BM45" s="239"/>
      <c r="BN45" s="239"/>
      <c r="BO45" s="239"/>
      <c r="BP45" s="239"/>
      <c r="BQ45" s="239"/>
      <c r="BR45" s="239"/>
      <c r="BS45" s="239"/>
      <c r="BT45" s="239"/>
      <c r="BU45" s="239"/>
      <c r="BV45" s="239"/>
      <c r="BW45" s="239"/>
      <c r="BX45" s="239"/>
      <c r="BY45" s="239"/>
      <c r="BZ45" s="239"/>
      <c r="CA45" s="239"/>
      <c r="CB45" s="239"/>
      <c r="CC45" s="239"/>
      <c r="CD45" s="239"/>
      <c r="CE45" s="239"/>
      <c r="CF45" s="239"/>
      <c r="CG45" s="239"/>
      <c r="CH45" s="239"/>
      <c r="CI45" s="239"/>
      <c r="CJ45" s="239"/>
      <c r="CK45" s="239"/>
      <c r="CL45" s="239"/>
      <c r="CM45" s="239"/>
      <c r="CN45" s="239"/>
      <c r="CO45" s="239"/>
      <c r="CP45" s="239"/>
      <c r="CQ45" s="239"/>
      <c r="CR45" s="239"/>
      <c r="CS45" s="239"/>
      <c r="CT45" s="239"/>
      <c r="CU45" s="239"/>
      <c r="CV45" s="239"/>
      <c r="CW45" s="239"/>
      <c r="CX45" s="239"/>
      <c r="CY45" s="239"/>
      <c r="CZ45" s="239"/>
      <c r="DA45" s="239"/>
      <c r="DB45" s="239"/>
      <c r="DC45" s="239"/>
      <c r="DD45" s="239"/>
      <c r="DE45" s="239"/>
      <c r="DF45" s="239"/>
      <c r="DG45" s="239"/>
      <c r="DH45" s="239"/>
      <c r="DI45" s="239"/>
      <c r="DJ45" s="239"/>
      <c r="DK45" s="239"/>
      <c r="DL45" s="239"/>
      <c r="DM45" s="239"/>
      <c r="DN45" s="239"/>
      <c r="DO45" s="239"/>
      <c r="DP45" s="239"/>
      <c r="DQ45" s="239"/>
      <c r="DR45" s="239"/>
      <c r="DS45" s="239"/>
      <c r="DT45" s="239"/>
      <c r="DU45" s="239"/>
      <c r="DV45" s="239"/>
      <c r="DW45" s="239"/>
      <c r="DX45" s="239"/>
      <c r="DY45" s="239"/>
      <c r="DZ45" s="239"/>
      <c r="EA45" s="239"/>
      <c r="EB45" s="239"/>
      <c r="EC45" s="239"/>
      <c r="ED45" s="239"/>
      <c r="EE45" s="239"/>
      <c r="EF45" s="239"/>
      <c r="EG45" s="239"/>
      <c r="EH45" s="239"/>
      <c r="EI45" s="239"/>
      <c r="EJ45" s="239"/>
      <c r="EK45" s="239"/>
      <c r="EL45" s="239"/>
      <c r="EM45" s="239"/>
      <c r="EN45" s="239"/>
      <c r="EO45" s="239"/>
      <c r="EP45" s="239"/>
      <c r="EQ45" s="239"/>
      <c r="ER45" s="239"/>
      <c r="ES45" s="239"/>
      <c r="ET45" s="239"/>
      <c r="EU45" s="239"/>
      <c r="EV45" s="239"/>
      <c r="EW45" s="239"/>
      <c r="EX45" s="239"/>
      <c r="EY45" s="239"/>
      <c r="EZ45" s="239"/>
      <c r="FA45" s="239"/>
      <c r="FB45" s="239"/>
      <c r="FC45" s="239"/>
      <c r="FD45" s="239"/>
      <c r="FE45" s="239"/>
      <c r="FF45" s="239"/>
      <c r="FG45" s="239"/>
      <c r="FH45" s="239"/>
      <c r="FI45" s="239"/>
      <c r="FJ45" s="239"/>
      <c r="FK45" s="239"/>
      <c r="FL45" s="239"/>
      <c r="FM45" s="239"/>
      <c r="FN45" s="239"/>
      <c r="FO45" s="239"/>
      <c r="FP45" s="239"/>
      <c r="FQ45" s="239"/>
      <c r="FR45" s="239"/>
      <c r="FS45" s="239"/>
      <c r="FT45" s="239"/>
      <c r="FU45" s="239"/>
      <c r="FV45" s="239"/>
      <c r="FW45" s="239"/>
    </row>
    <row r="46" spans="1:179" s="236" customFormat="1" ht="23.25">
      <c r="A46" s="262" t="s">
        <v>897</v>
      </c>
      <c r="B46" s="263"/>
      <c r="C46" s="263"/>
      <c r="D46" s="263"/>
      <c r="E46" s="263"/>
      <c r="F46" s="263"/>
      <c r="G46" s="263"/>
      <c r="H46" s="263"/>
      <c r="I46" s="263"/>
      <c r="J46" s="263"/>
      <c r="K46" s="263"/>
      <c r="L46" s="263"/>
      <c r="M46" s="263"/>
      <c r="N46" s="260"/>
      <c r="O46" s="260"/>
      <c r="P46" s="260"/>
      <c r="Q46" s="260"/>
      <c r="R46" s="260"/>
      <c r="S46" s="260"/>
      <c r="T46" s="260"/>
      <c r="V46" s="256" t="s">
        <v>898</v>
      </c>
      <c r="W46" s="261"/>
      <c r="X46" s="261"/>
      <c r="Y46" s="261"/>
      <c r="Z46" s="261"/>
      <c r="AA46" s="261"/>
      <c r="AB46" s="261"/>
      <c r="AC46" s="261"/>
      <c r="AD46" s="261"/>
      <c r="AE46" s="261"/>
      <c r="AF46" s="261"/>
      <c r="AG46" s="261"/>
      <c r="AH46" s="261"/>
      <c r="AI46" s="261"/>
      <c r="AJ46" s="261"/>
      <c r="AK46" s="261"/>
      <c r="AL46" s="254"/>
      <c r="AN46" s="239"/>
      <c r="AO46" s="239"/>
      <c r="AP46" s="239"/>
      <c r="AQ46" s="239"/>
      <c r="AR46" s="239"/>
      <c r="AS46" s="239"/>
      <c r="AT46" s="239"/>
      <c r="AU46" s="239"/>
      <c r="AV46" s="239"/>
      <c r="AW46" s="239"/>
      <c r="AX46" s="239"/>
      <c r="AY46" s="239"/>
      <c r="AZ46" s="239"/>
      <c r="BA46" s="239"/>
      <c r="BB46" s="239"/>
      <c r="BC46" s="239"/>
      <c r="BD46" s="239"/>
      <c r="BE46" s="239"/>
      <c r="BF46" s="239"/>
      <c r="BG46" s="239"/>
      <c r="BH46" s="239"/>
      <c r="BI46" s="239"/>
      <c r="BJ46" s="239"/>
      <c r="BK46" s="239"/>
      <c r="BL46" s="239"/>
      <c r="BM46" s="239"/>
      <c r="BN46" s="239"/>
      <c r="BO46" s="239"/>
      <c r="BP46" s="239"/>
      <c r="BQ46" s="239"/>
      <c r="BR46" s="239"/>
      <c r="BS46" s="239"/>
      <c r="BT46" s="239"/>
      <c r="BU46" s="239"/>
      <c r="BV46" s="239"/>
      <c r="BW46" s="239"/>
      <c r="BX46" s="239"/>
      <c r="BY46" s="239"/>
      <c r="BZ46" s="239"/>
      <c r="CA46" s="239"/>
      <c r="CB46" s="239"/>
      <c r="CC46" s="239"/>
      <c r="CD46" s="239"/>
      <c r="CE46" s="239"/>
      <c r="CF46" s="239"/>
      <c r="CG46" s="239"/>
      <c r="CH46" s="239"/>
      <c r="CI46" s="239"/>
      <c r="CJ46" s="239"/>
      <c r="CK46" s="239"/>
      <c r="CL46" s="239"/>
      <c r="CM46" s="239"/>
      <c r="CN46" s="239"/>
      <c r="CO46" s="239"/>
      <c r="CP46" s="239"/>
      <c r="CQ46" s="239"/>
      <c r="CR46" s="239"/>
      <c r="CS46" s="239"/>
      <c r="CT46" s="239"/>
      <c r="CU46" s="239"/>
      <c r="CV46" s="239"/>
      <c r="CW46" s="239"/>
      <c r="CX46" s="239"/>
      <c r="CY46" s="239"/>
      <c r="CZ46" s="239"/>
      <c r="DA46" s="239"/>
      <c r="DB46" s="239"/>
      <c r="DC46" s="239"/>
      <c r="DD46" s="239"/>
      <c r="DE46" s="239"/>
      <c r="DF46" s="239"/>
      <c r="DG46" s="239"/>
      <c r="DH46" s="239"/>
      <c r="DI46" s="239"/>
      <c r="DJ46" s="239"/>
      <c r="DK46" s="239"/>
      <c r="DL46" s="239"/>
      <c r="DM46" s="239"/>
      <c r="DN46" s="239"/>
      <c r="DO46" s="239"/>
      <c r="DP46" s="239"/>
      <c r="DQ46" s="239"/>
      <c r="DR46" s="239"/>
      <c r="DS46" s="239"/>
      <c r="DT46" s="239"/>
      <c r="DU46" s="239"/>
      <c r="DV46" s="239"/>
      <c r="DW46" s="239"/>
      <c r="DX46" s="239"/>
      <c r="DY46" s="239"/>
      <c r="DZ46" s="239"/>
      <c r="EA46" s="239"/>
      <c r="EB46" s="239"/>
      <c r="EC46" s="239"/>
      <c r="ED46" s="239"/>
      <c r="EE46" s="239"/>
      <c r="EF46" s="239"/>
      <c r="EG46" s="239"/>
      <c r="EH46" s="239"/>
      <c r="EI46" s="239"/>
      <c r="EJ46" s="239"/>
      <c r="EK46" s="239"/>
      <c r="EL46" s="239"/>
      <c r="EM46" s="239"/>
      <c r="EN46" s="239"/>
      <c r="EO46" s="239"/>
      <c r="EP46" s="239"/>
      <c r="EQ46" s="239"/>
      <c r="ER46" s="239"/>
      <c r="ES46" s="239"/>
      <c r="ET46" s="239"/>
      <c r="EU46" s="239"/>
      <c r="EV46" s="239"/>
      <c r="EW46" s="239"/>
      <c r="EX46" s="239"/>
      <c r="EY46" s="239"/>
      <c r="EZ46" s="239"/>
      <c r="FA46" s="239"/>
      <c r="FB46" s="239"/>
      <c r="FC46" s="239"/>
      <c r="FD46" s="239"/>
      <c r="FE46" s="239"/>
      <c r="FF46" s="239"/>
      <c r="FG46" s="239"/>
      <c r="FH46" s="239"/>
      <c r="FI46" s="239"/>
      <c r="FJ46" s="239"/>
      <c r="FK46" s="239"/>
      <c r="FL46" s="239"/>
      <c r="FM46" s="239"/>
      <c r="FN46" s="239"/>
      <c r="FO46" s="239"/>
      <c r="FP46" s="239"/>
      <c r="FQ46" s="239"/>
      <c r="FR46" s="239"/>
      <c r="FS46" s="239"/>
      <c r="FT46" s="239"/>
      <c r="FU46" s="239"/>
      <c r="FV46" s="239"/>
      <c r="FW46" s="239"/>
    </row>
    <row r="47" spans="1:179" s="236" customFormat="1" ht="18">
      <c r="A47" s="260"/>
      <c r="B47" s="260"/>
      <c r="C47" s="260"/>
      <c r="D47" s="260"/>
      <c r="E47" s="260"/>
      <c r="F47" s="260"/>
      <c r="G47" s="260"/>
      <c r="H47" s="260"/>
      <c r="I47" s="260"/>
      <c r="J47" s="260"/>
      <c r="K47" s="260"/>
      <c r="L47" s="260"/>
      <c r="M47" s="260"/>
      <c r="N47" s="260"/>
      <c r="O47" s="260"/>
      <c r="P47" s="260"/>
      <c r="Q47" s="260"/>
      <c r="R47" s="260"/>
      <c r="S47" s="260"/>
      <c r="T47" s="260"/>
      <c r="V47" s="261"/>
      <c r="W47" s="261"/>
      <c r="X47" s="261"/>
      <c r="Y47" s="261"/>
      <c r="Z47" s="261"/>
      <c r="AA47" s="261"/>
      <c r="AB47" s="261"/>
      <c r="AC47" s="261"/>
      <c r="AD47" s="261"/>
      <c r="AE47" s="261"/>
      <c r="AF47" s="261"/>
      <c r="AG47" s="261"/>
      <c r="AH47" s="261"/>
      <c r="AI47" s="261"/>
      <c r="AJ47" s="261"/>
      <c r="AK47" s="261"/>
      <c r="AL47" s="254"/>
      <c r="AN47" s="239"/>
      <c r="AO47" s="239"/>
      <c r="AP47" s="239"/>
      <c r="AQ47" s="239"/>
      <c r="AR47" s="239"/>
      <c r="AS47" s="239"/>
      <c r="AT47" s="239"/>
      <c r="AU47" s="239"/>
      <c r="AV47" s="239"/>
      <c r="AW47" s="239"/>
      <c r="AX47" s="239"/>
      <c r="AY47" s="239"/>
      <c r="AZ47" s="239"/>
      <c r="BA47" s="239"/>
      <c r="BB47" s="239"/>
      <c r="BC47" s="239"/>
      <c r="BD47" s="239"/>
      <c r="BE47" s="239"/>
      <c r="BF47" s="239"/>
      <c r="BG47" s="239"/>
      <c r="BH47" s="239"/>
      <c r="BI47" s="239"/>
      <c r="BJ47" s="239"/>
      <c r="BK47" s="239"/>
      <c r="BL47" s="239"/>
      <c r="BM47" s="239"/>
      <c r="BN47" s="239"/>
      <c r="BO47" s="239"/>
      <c r="BP47" s="239"/>
      <c r="BQ47" s="239"/>
      <c r="BR47" s="239"/>
      <c r="BS47" s="239"/>
      <c r="BT47" s="239"/>
      <c r="BU47" s="239"/>
      <c r="BV47" s="239"/>
      <c r="BW47" s="239"/>
      <c r="BX47" s="239"/>
      <c r="BY47" s="239"/>
      <c r="BZ47" s="239"/>
      <c r="CA47" s="239"/>
      <c r="CB47" s="239"/>
      <c r="CC47" s="239"/>
      <c r="CD47" s="239"/>
      <c r="CE47" s="239"/>
      <c r="CF47" s="239"/>
      <c r="CG47" s="239"/>
      <c r="CH47" s="239"/>
      <c r="CI47" s="239"/>
      <c r="CJ47" s="239"/>
      <c r="CK47" s="239"/>
      <c r="CL47" s="239"/>
      <c r="CM47" s="239"/>
      <c r="CN47" s="239"/>
      <c r="CO47" s="239"/>
      <c r="CP47" s="239"/>
      <c r="CQ47" s="239"/>
      <c r="CR47" s="239"/>
      <c r="CS47" s="239"/>
      <c r="CT47" s="239"/>
      <c r="CU47" s="239"/>
      <c r="CV47" s="239"/>
      <c r="CW47" s="239"/>
      <c r="CX47" s="239"/>
      <c r="CY47" s="239"/>
      <c r="CZ47" s="239"/>
      <c r="DA47" s="239"/>
      <c r="DB47" s="239"/>
      <c r="DC47" s="239"/>
      <c r="DD47" s="239"/>
      <c r="DE47" s="239"/>
      <c r="DF47" s="239"/>
      <c r="DG47" s="239"/>
      <c r="DH47" s="239"/>
      <c r="DI47" s="239"/>
      <c r="DJ47" s="239"/>
      <c r="DK47" s="239"/>
      <c r="DL47" s="239"/>
      <c r="DM47" s="239"/>
      <c r="DN47" s="239"/>
      <c r="DO47" s="239"/>
      <c r="DP47" s="239"/>
      <c r="DQ47" s="239"/>
      <c r="DR47" s="239"/>
      <c r="DS47" s="239"/>
      <c r="DT47" s="239"/>
      <c r="DU47" s="239"/>
      <c r="DV47" s="239"/>
      <c r="DW47" s="239"/>
      <c r="DX47" s="239"/>
      <c r="DY47" s="239"/>
      <c r="DZ47" s="239"/>
      <c r="EA47" s="239"/>
      <c r="EB47" s="239"/>
      <c r="EC47" s="239"/>
      <c r="ED47" s="239"/>
      <c r="EE47" s="239"/>
      <c r="EF47" s="239"/>
      <c r="EG47" s="239"/>
      <c r="EH47" s="239"/>
      <c r="EI47" s="239"/>
      <c r="EJ47" s="239"/>
      <c r="EK47" s="239"/>
      <c r="EL47" s="239"/>
      <c r="EM47" s="239"/>
      <c r="EN47" s="239"/>
      <c r="EO47" s="239"/>
      <c r="EP47" s="239"/>
      <c r="EQ47" s="239"/>
      <c r="ER47" s="239"/>
      <c r="ES47" s="239"/>
      <c r="ET47" s="239"/>
      <c r="EU47" s="239"/>
      <c r="EV47" s="239"/>
      <c r="EW47" s="239"/>
      <c r="EX47" s="239"/>
      <c r="EY47" s="239"/>
      <c r="EZ47" s="239"/>
      <c r="FA47" s="239"/>
      <c r="FB47" s="239"/>
      <c r="FC47" s="239"/>
      <c r="FD47" s="239"/>
      <c r="FE47" s="239"/>
      <c r="FF47" s="239"/>
      <c r="FG47" s="239"/>
      <c r="FH47" s="239"/>
      <c r="FI47" s="239"/>
      <c r="FJ47" s="239"/>
      <c r="FK47" s="239"/>
      <c r="FL47" s="239"/>
      <c r="FM47" s="239"/>
      <c r="FN47" s="239"/>
      <c r="FO47" s="239"/>
      <c r="FP47" s="239"/>
      <c r="FQ47" s="239"/>
      <c r="FR47" s="239"/>
      <c r="FS47" s="239"/>
      <c r="FT47" s="239"/>
      <c r="FU47" s="239"/>
      <c r="FV47" s="239"/>
      <c r="FW47" s="239"/>
    </row>
    <row r="48" spans="1:179" s="236" customFormat="1" ht="18">
      <c r="A48" s="260"/>
      <c r="B48" s="260"/>
      <c r="C48" s="260"/>
      <c r="D48" s="260"/>
      <c r="E48" s="260"/>
      <c r="F48" s="260"/>
      <c r="G48" s="236" t="s">
        <v>872</v>
      </c>
      <c r="H48" s="260"/>
      <c r="I48" s="260"/>
      <c r="J48" s="260"/>
      <c r="K48" s="260"/>
      <c r="L48" s="260"/>
      <c r="M48" s="260"/>
      <c r="N48" s="260"/>
      <c r="O48" s="260"/>
      <c r="P48" s="260"/>
      <c r="Q48" s="260"/>
      <c r="R48" s="260"/>
      <c r="S48" s="260"/>
      <c r="T48" s="260"/>
      <c r="V48" s="253"/>
      <c r="W48" s="261"/>
      <c r="X48" s="261"/>
      <c r="Y48" s="261"/>
      <c r="Z48" s="261"/>
      <c r="AA48" s="261"/>
      <c r="AB48" s="246" t="s">
        <v>872</v>
      </c>
      <c r="AC48" s="264"/>
      <c r="AD48" s="264"/>
      <c r="AE48" s="264"/>
      <c r="AF48" s="264"/>
      <c r="AG48" s="264"/>
      <c r="AH48" s="264"/>
      <c r="AI48" s="264"/>
      <c r="AJ48" s="264"/>
      <c r="AK48" s="261"/>
      <c r="AL48" s="265"/>
      <c r="AN48" s="239"/>
      <c r="AO48" s="239"/>
      <c r="AP48" s="239"/>
      <c r="AQ48" s="239"/>
      <c r="AR48" s="239"/>
      <c r="AS48" s="239"/>
      <c r="AT48" s="239"/>
      <c r="AU48" s="239"/>
      <c r="AV48" s="239"/>
      <c r="AW48" s="239"/>
      <c r="AX48" s="239"/>
      <c r="AY48" s="239"/>
      <c r="AZ48" s="239"/>
      <c r="BA48" s="239"/>
      <c r="BB48" s="239"/>
      <c r="BC48" s="239"/>
      <c r="BD48" s="239"/>
      <c r="BE48" s="239"/>
      <c r="BF48" s="239"/>
      <c r="BG48" s="239"/>
      <c r="BH48" s="239"/>
      <c r="BI48" s="239"/>
      <c r="BJ48" s="239"/>
      <c r="BK48" s="239"/>
      <c r="BL48" s="239"/>
      <c r="BM48" s="239"/>
      <c r="BN48" s="239"/>
      <c r="BO48" s="239"/>
      <c r="BP48" s="239"/>
      <c r="BQ48" s="239"/>
      <c r="BR48" s="239"/>
      <c r="BS48" s="239"/>
      <c r="BT48" s="239"/>
      <c r="BU48" s="239"/>
      <c r="BV48" s="239"/>
      <c r="BW48" s="239"/>
      <c r="BX48" s="239"/>
      <c r="BY48" s="239"/>
      <c r="BZ48" s="239"/>
      <c r="CA48" s="239"/>
      <c r="CB48" s="239"/>
      <c r="CC48" s="239"/>
      <c r="CD48" s="239"/>
      <c r="CE48" s="239"/>
      <c r="CF48" s="239"/>
      <c r="CG48" s="239"/>
      <c r="CH48" s="239"/>
      <c r="CI48" s="239"/>
      <c r="CJ48" s="239"/>
      <c r="CK48" s="239"/>
      <c r="CL48" s="239"/>
      <c r="CM48" s="239"/>
      <c r="CN48" s="239"/>
      <c r="CO48" s="239"/>
      <c r="CP48" s="239"/>
      <c r="CQ48" s="239"/>
      <c r="CR48" s="239"/>
      <c r="CS48" s="239"/>
      <c r="CT48" s="239"/>
      <c r="CU48" s="239"/>
      <c r="CV48" s="239"/>
      <c r="CW48" s="239"/>
      <c r="CX48" s="239"/>
      <c r="CY48" s="239"/>
      <c r="CZ48" s="239"/>
      <c r="DA48" s="239"/>
      <c r="DB48" s="239"/>
      <c r="DC48" s="239"/>
      <c r="DD48" s="239"/>
      <c r="DE48" s="239"/>
      <c r="DF48" s="239"/>
      <c r="DG48" s="239"/>
      <c r="DH48" s="239"/>
      <c r="DI48" s="239"/>
      <c r="DJ48" s="239"/>
      <c r="DK48" s="239"/>
      <c r="DL48" s="239"/>
      <c r="DM48" s="239"/>
      <c r="DN48" s="239"/>
      <c r="DO48" s="239"/>
      <c r="DP48" s="239"/>
      <c r="DQ48" s="239"/>
      <c r="DR48" s="239"/>
      <c r="DS48" s="239"/>
      <c r="DT48" s="239"/>
      <c r="DU48" s="239"/>
      <c r="DV48" s="239"/>
      <c r="DW48" s="239"/>
      <c r="DX48" s="239"/>
      <c r="DY48" s="239"/>
      <c r="DZ48" s="239"/>
      <c r="EA48" s="239"/>
      <c r="EB48" s="239"/>
      <c r="EC48" s="239"/>
      <c r="ED48" s="239"/>
      <c r="EE48" s="239"/>
      <c r="EF48" s="239"/>
      <c r="EG48" s="239"/>
      <c r="EH48" s="239"/>
      <c r="EI48" s="239"/>
      <c r="EJ48" s="239"/>
      <c r="EK48" s="239"/>
      <c r="EL48" s="239"/>
      <c r="EM48" s="239"/>
      <c r="EN48" s="239"/>
      <c r="EO48" s="239"/>
      <c r="EP48" s="239"/>
      <c r="EQ48" s="239"/>
      <c r="ER48" s="239"/>
      <c r="ES48" s="239"/>
      <c r="ET48" s="239"/>
      <c r="EU48" s="239"/>
      <c r="EV48" s="239"/>
      <c r="EW48" s="239"/>
      <c r="EX48" s="239"/>
      <c r="EY48" s="239"/>
      <c r="EZ48" s="239"/>
      <c r="FA48" s="239"/>
      <c r="FB48" s="239"/>
      <c r="FC48" s="239"/>
      <c r="FD48" s="239"/>
      <c r="FE48" s="239"/>
      <c r="FF48" s="239"/>
      <c r="FG48" s="239"/>
      <c r="FH48" s="239"/>
      <c r="FI48" s="239"/>
      <c r="FJ48" s="239"/>
      <c r="FK48" s="239"/>
      <c r="FL48" s="239"/>
      <c r="FM48" s="239"/>
      <c r="FN48" s="239"/>
      <c r="FO48" s="239"/>
      <c r="FP48" s="239"/>
      <c r="FQ48" s="239"/>
      <c r="FR48" s="239"/>
      <c r="FS48" s="239"/>
      <c r="FT48" s="239"/>
      <c r="FU48" s="239"/>
      <c r="FV48" s="239"/>
      <c r="FW48" s="239"/>
    </row>
    <row r="49" spans="1:179" s="236" customFormat="1" ht="18">
      <c r="A49" s="260" t="s">
        <v>873</v>
      </c>
      <c r="B49" s="260" t="s">
        <v>899</v>
      </c>
      <c r="C49" s="260" t="s">
        <v>900</v>
      </c>
      <c r="D49" s="260" t="s">
        <v>901</v>
      </c>
      <c r="E49" s="260" t="s">
        <v>902</v>
      </c>
      <c r="F49" s="260" t="s">
        <v>903</v>
      </c>
      <c r="G49" s="260" t="s">
        <v>904</v>
      </c>
      <c r="H49" s="260" t="s">
        <v>905</v>
      </c>
      <c r="I49" s="260" t="s">
        <v>906</v>
      </c>
      <c r="J49" s="260" t="s">
        <v>907</v>
      </c>
      <c r="K49" s="263" t="s">
        <v>908</v>
      </c>
      <c r="L49" s="260" t="s">
        <v>884</v>
      </c>
      <c r="M49" s="260" t="s">
        <v>909</v>
      </c>
      <c r="N49" s="260" t="s">
        <v>910</v>
      </c>
      <c r="O49" s="260" t="s">
        <v>911</v>
      </c>
      <c r="P49" s="260" t="s">
        <v>912</v>
      </c>
      <c r="Q49" s="260" t="s">
        <v>913</v>
      </c>
      <c r="R49" s="260" t="s">
        <v>914</v>
      </c>
      <c r="S49" s="260" t="s">
        <v>915</v>
      </c>
      <c r="T49" s="260"/>
      <c r="V49" s="266" t="s">
        <v>892</v>
      </c>
      <c r="W49" s="257">
        <v>2</v>
      </c>
      <c r="X49" s="257">
        <v>3</v>
      </c>
      <c r="Y49" s="257">
        <v>5</v>
      </c>
      <c r="Z49" s="257">
        <v>7</v>
      </c>
      <c r="AA49" s="257">
        <v>8</v>
      </c>
      <c r="AB49" s="257">
        <v>10</v>
      </c>
      <c r="AC49" s="257">
        <v>15</v>
      </c>
      <c r="AD49" s="257">
        <v>20</v>
      </c>
      <c r="AE49" s="257">
        <v>25</v>
      </c>
      <c r="AF49" s="257">
        <v>30</v>
      </c>
      <c r="AG49" s="257">
        <v>40</v>
      </c>
      <c r="AH49" s="257">
        <v>50</v>
      </c>
      <c r="AI49" s="257">
        <v>65</v>
      </c>
      <c r="AJ49" s="257">
        <v>80</v>
      </c>
      <c r="AK49" s="257">
        <v>100</v>
      </c>
      <c r="AL49" s="267"/>
      <c r="AN49" s="239"/>
      <c r="AO49" s="239"/>
      <c r="AP49" s="239"/>
      <c r="AQ49" s="239"/>
      <c r="AR49" s="239"/>
      <c r="AS49" s="239"/>
      <c r="AT49" s="239"/>
      <c r="AU49" s="239"/>
      <c r="AV49" s="239"/>
      <c r="AW49" s="239"/>
      <c r="AX49" s="239"/>
      <c r="AY49" s="239"/>
      <c r="AZ49" s="239"/>
      <c r="BA49" s="239"/>
      <c r="BB49" s="239"/>
      <c r="BC49" s="239"/>
      <c r="BD49" s="239"/>
      <c r="BE49" s="239"/>
      <c r="BF49" s="239"/>
      <c r="BG49" s="239"/>
      <c r="BH49" s="239"/>
      <c r="BI49" s="239"/>
      <c r="BJ49" s="239"/>
      <c r="BK49" s="239"/>
      <c r="BL49" s="239"/>
      <c r="BM49" s="239"/>
      <c r="BN49" s="239"/>
      <c r="BO49" s="239"/>
      <c r="BP49" s="239"/>
      <c r="BQ49" s="239"/>
      <c r="BR49" s="239"/>
      <c r="BS49" s="239"/>
      <c r="BT49" s="239"/>
      <c r="BU49" s="239"/>
      <c r="BV49" s="239"/>
      <c r="BW49" s="239"/>
      <c r="BX49" s="239"/>
      <c r="BY49" s="239"/>
      <c r="BZ49" s="239"/>
      <c r="CA49" s="239"/>
      <c r="CB49" s="239"/>
      <c r="CC49" s="239"/>
      <c r="CD49" s="239"/>
      <c r="CE49" s="239"/>
      <c r="CF49" s="239"/>
      <c r="CG49" s="239"/>
      <c r="CH49" s="239"/>
      <c r="CI49" s="239"/>
      <c r="CJ49" s="239"/>
      <c r="CK49" s="239"/>
      <c r="CL49" s="239"/>
      <c r="CM49" s="239"/>
      <c r="CN49" s="239"/>
      <c r="CO49" s="239"/>
      <c r="CP49" s="239"/>
      <c r="CQ49" s="239"/>
      <c r="CR49" s="239"/>
      <c r="CS49" s="239"/>
      <c r="CT49" s="239"/>
      <c r="CU49" s="239"/>
      <c r="CV49" s="239"/>
      <c r="CW49" s="239"/>
      <c r="CX49" s="239"/>
      <c r="CY49" s="239"/>
      <c r="CZ49" s="239"/>
      <c r="DA49" s="239"/>
      <c r="DB49" s="239"/>
      <c r="DC49" s="239"/>
      <c r="DD49" s="239"/>
      <c r="DE49" s="239"/>
      <c r="DF49" s="239"/>
      <c r="DG49" s="239"/>
      <c r="DH49" s="239"/>
      <c r="DI49" s="239"/>
      <c r="DJ49" s="239"/>
      <c r="DK49" s="239"/>
      <c r="DL49" s="239"/>
      <c r="DM49" s="239"/>
      <c r="DN49" s="239"/>
      <c r="DO49" s="239"/>
      <c r="DP49" s="239"/>
      <c r="DQ49" s="239"/>
      <c r="DR49" s="239"/>
      <c r="DS49" s="239"/>
      <c r="DT49" s="239"/>
      <c r="DU49" s="239"/>
      <c r="DV49" s="239"/>
      <c r="DW49" s="239"/>
      <c r="DX49" s="239"/>
      <c r="DY49" s="239"/>
      <c r="DZ49" s="239"/>
      <c r="EA49" s="239"/>
      <c r="EB49" s="239"/>
      <c r="EC49" s="239"/>
      <c r="ED49" s="239"/>
      <c r="EE49" s="239"/>
      <c r="EF49" s="239"/>
      <c r="EG49" s="239"/>
      <c r="EH49" s="239"/>
      <c r="EI49" s="239"/>
      <c r="EJ49" s="239"/>
      <c r="EK49" s="239"/>
      <c r="EL49" s="239"/>
      <c r="EM49" s="239"/>
      <c r="EN49" s="239"/>
      <c r="EO49" s="239"/>
      <c r="EP49" s="239"/>
      <c r="EQ49" s="239"/>
      <c r="ER49" s="239"/>
      <c r="ES49" s="239"/>
      <c r="ET49" s="239"/>
      <c r="EU49" s="239"/>
      <c r="EV49" s="239"/>
      <c r="EW49" s="239"/>
      <c r="EX49" s="239"/>
      <c r="EY49" s="239"/>
      <c r="EZ49" s="239"/>
      <c r="FA49" s="239"/>
      <c r="FB49" s="239"/>
      <c r="FC49" s="239"/>
      <c r="FD49" s="239"/>
      <c r="FE49" s="239"/>
      <c r="FF49" s="239"/>
      <c r="FG49" s="239"/>
      <c r="FH49" s="239"/>
      <c r="FI49" s="239"/>
      <c r="FJ49" s="239"/>
      <c r="FK49" s="239"/>
      <c r="FL49" s="239"/>
      <c r="FM49" s="239"/>
      <c r="FN49" s="239"/>
      <c r="FO49" s="239"/>
      <c r="FP49" s="239"/>
      <c r="FQ49" s="239"/>
      <c r="FR49" s="239"/>
      <c r="FS49" s="239"/>
      <c r="FT49" s="239"/>
      <c r="FU49" s="239"/>
      <c r="FV49" s="239"/>
      <c r="FW49" s="239"/>
    </row>
    <row r="50" spans="1:179" s="236" customFormat="1" ht="18">
      <c r="A50" s="260">
        <v>300</v>
      </c>
      <c r="B50" s="236">
        <v>2</v>
      </c>
      <c r="C50" s="236">
        <v>4</v>
      </c>
      <c r="D50" s="236">
        <v>6</v>
      </c>
      <c r="E50" s="236">
        <v>12</v>
      </c>
      <c r="F50" s="236">
        <v>15</v>
      </c>
      <c r="G50" s="236">
        <v>19</v>
      </c>
      <c r="H50" s="236">
        <v>25</v>
      </c>
      <c r="I50" s="236">
        <v>31</v>
      </c>
      <c r="J50" s="236">
        <v>40</v>
      </c>
      <c r="K50" s="236">
        <v>50</v>
      </c>
      <c r="L50" s="236">
        <v>62</v>
      </c>
      <c r="M50" s="236">
        <v>80</v>
      </c>
      <c r="N50" s="236">
        <v>100</v>
      </c>
      <c r="O50" s="236">
        <v>130</v>
      </c>
      <c r="P50" s="236">
        <v>160</v>
      </c>
      <c r="Q50" s="236">
        <v>190</v>
      </c>
      <c r="R50" s="236">
        <v>325</v>
      </c>
      <c r="S50" s="236">
        <v>540</v>
      </c>
      <c r="T50" s="260"/>
      <c r="V50" s="266">
        <v>300</v>
      </c>
      <c r="W50" s="268">
        <v>4</v>
      </c>
      <c r="X50" s="268">
        <v>5.8</v>
      </c>
      <c r="Y50" s="268">
        <v>10</v>
      </c>
      <c r="Z50" s="268">
        <v>14</v>
      </c>
      <c r="AA50" s="268">
        <v>16</v>
      </c>
      <c r="AB50" s="268">
        <v>18</v>
      </c>
      <c r="AC50" s="268">
        <v>30</v>
      </c>
      <c r="AD50" s="268">
        <v>40</v>
      </c>
      <c r="AE50" s="268">
        <v>49</v>
      </c>
      <c r="AF50" s="268">
        <v>58</v>
      </c>
      <c r="AG50" s="268">
        <v>80</v>
      </c>
      <c r="AH50" s="268">
        <v>100</v>
      </c>
      <c r="AI50" s="268">
        <v>130</v>
      </c>
      <c r="AJ50" s="268">
        <v>160</v>
      </c>
      <c r="AK50" s="268">
        <v>200</v>
      </c>
      <c r="AL50" s="254"/>
      <c r="AN50" s="239"/>
      <c r="AO50" s="239"/>
      <c r="AP50" s="239"/>
      <c r="AQ50" s="239"/>
      <c r="AR50" s="239"/>
      <c r="AS50" s="239"/>
      <c r="AT50" s="239"/>
      <c r="AU50" s="239"/>
      <c r="AV50" s="239"/>
      <c r="AW50" s="239"/>
      <c r="AX50" s="239"/>
      <c r="AY50" s="239"/>
      <c r="AZ50" s="239"/>
      <c r="BA50" s="239"/>
      <c r="BB50" s="239"/>
      <c r="BC50" s="239"/>
      <c r="BD50" s="239"/>
      <c r="BE50" s="239"/>
      <c r="BF50" s="239"/>
      <c r="BG50" s="239"/>
      <c r="BH50" s="239"/>
      <c r="BI50" s="239"/>
      <c r="BJ50" s="239"/>
      <c r="BK50" s="239"/>
      <c r="BL50" s="239"/>
      <c r="BM50" s="239"/>
      <c r="BN50" s="239"/>
      <c r="BO50" s="239"/>
      <c r="BP50" s="239"/>
      <c r="BQ50" s="239"/>
      <c r="BR50" s="239"/>
      <c r="BS50" s="239"/>
      <c r="BT50" s="239"/>
      <c r="BU50" s="239"/>
      <c r="BV50" s="239"/>
      <c r="BW50" s="239"/>
      <c r="BX50" s="239"/>
      <c r="BY50" s="239"/>
      <c r="BZ50" s="239"/>
      <c r="CA50" s="239"/>
      <c r="CB50" s="239"/>
      <c r="CC50" s="239"/>
      <c r="CD50" s="239"/>
      <c r="CE50" s="239"/>
      <c r="CF50" s="239"/>
      <c r="CG50" s="239"/>
      <c r="CH50" s="239"/>
      <c r="CI50" s="239"/>
      <c r="CJ50" s="239"/>
      <c r="CK50" s="239"/>
      <c r="CL50" s="239"/>
      <c r="CM50" s="239"/>
      <c r="CN50" s="239"/>
      <c r="CO50" s="239"/>
      <c r="CP50" s="239"/>
      <c r="CQ50" s="239"/>
      <c r="CR50" s="239"/>
      <c r="CS50" s="239"/>
      <c r="CT50" s="239"/>
      <c r="CU50" s="239"/>
      <c r="CV50" s="239"/>
      <c r="CW50" s="239"/>
      <c r="CX50" s="239"/>
      <c r="CY50" s="239"/>
      <c r="CZ50" s="239"/>
      <c r="DA50" s="239"/>
      <c r="DB50" s="239"/>
      <c r="DC50" s="239"/>
      <c r="DD50" s="239"/>
      <c r="DE50" s="239"/>
      <c r="DF50" s="239"/>
      <c r="DG50" s="239"/>
      <c r="DH50" s="239"/>
      <c r="DI50" s="239"/>
      <c r="DJ50" s="239"/>
      <c r="DK50" s="239"/>
      <c r="DL50" s="239"/>
      <c r="DM50" s="239"/>
      <c r="DN50" s="239"/>
      <c r="DO50" s="239"/>
      <c r="DP50" s="239"/>
      <c r="DQ50" s="239"/>
      <c r="DR50" s="239"/>
      <c r="DS50" s="239"/>
      <c r="DT50" s="239"/>
      <c r="DU50" s="239"/>
      <c r="DV50" s="239"/>
      <c r="DW50" s="239"/>
      <c r="DX50" s="239"/>
      <c r="DY50" s="239"/>
      <c r="DZ50" s="239"/>
      <c r="EA50" s="239"/>
      <c r="EB50" s="239"/>
      <c r="EC50" s="239"/>
      <c r="ED50" s="239"/>
      <c r="EE50" s="239"/>
      <c r="EF50" s="239"/>
      <c r="EG50" s="239"/>
      <c r="EH50" s="239"/>
      <c r="EI50" s="239"/>
      <c r="EJ50" s="239"/>
      <c r="EK50" s="239"/>
      <c r="EL50" s="239"/>
      <c r="EM50" s="239"/>
      <c r="EN50" s="239"/>
      <c r="EO50" s="239"/>
      <c r="EP50" s="239"/>
      <c r="EQ50" s="239"/>
      <c r="ER50" s="239"/>
      <c r="ES50" s="239"/>
      <c r="ET50" s="239"/>
      <c r="EU50" s="239"/>
      <c r="EV50" s="239"/>
      <c r="EW50" s="239"/>
      <c r="EX50" s="239"/>
      <c r="EY50" s="239"/>
      <c r="EZ50" s="239"/>
      <c r="FA50" s="239"/>
      <c r="FB50" s="239"/>
      <c r="FC50" s="239"/>
      <c r="FD50" s="239"/>
      <c r="FE50" s="239"/>
      <c r="FF50" s="239"/>
      <c r="FG50" s="239"/>
      <c r="FH50" s="239"/>
      <c r="FI50" s="239"/>
      <c r="FJ50" s="239"/>
      <c r="FK50" s="239"/>
      <c r="FL50" s="239"/>
      <c r="FM50" s="239"/>
      <c r="FN50" s="239"/>
      <c r="FO50" s="239"/>
      <c r="FP50" s="239"/>
      <c r="FQ50" s="239"/>
      <c r="FR50" s="239"/>
      <c r="FS50" s="239"/>
      <c r="FT50" s="239"/>
      <c r="FU50" s="239"/>
      <c r="FV50" s="239"/>
      <c r="FW50" s="239"/>
    </row>
    <row r="51" spans="1:179" s="236" customFormat="1" ht="18">
      <c r="A51" s="260">
        <v>180</v>
      </c>
      <c r="B51" s="269">
        <v>2.0099999999999998</v>
      </c>
      <c r="C51" s="269">
        <v>4.03</v>
      </c>
      <c r="D51" s="269">
        <v>6.02</v>
      </c>
      <c r="E51" s="269">
        <v>12.02</v>
      </c>
      <c r="F51" s="269">
        <v>15.03</v>
      </c>
      <c r="G51" s="270">
        <v>19.8</v>
      </c>
      <c r="H51" s="270">
        <v>25.5</v>
      </c>
      <c r="I51" s="270">
        <v>31.8</v>
      </c>
      <c r="J51" s="271">
        <v>40</v>
      </c>
      <c r="K51" s="271">
        <v>50.8</v>
      </c>
      <c r="L51" s="271">
        <v>65</v>
      </c>
      <c r="M51" s="271">
        <v>83.5</v>
      </c>
      <c r="N51" s="271">
        <v>100.1</v>
      </c>
      <c r="O51" s="271">
        <v>130</v>
      </c>
      <c r="P51" s="271">
        <v>165</v>
      </c>
      <c r="Q51" s="271">
        <v>200</v>
      </c>
      <c r="R51" s="271">
        <v>335</v>
      </c>
      <c r="S51" s="271">
        <v>540</v>
      </c>
      <c r="T51" s="260"/>
      <c r="V51" s="266">
        <v>240</v>
      </c>
      <c r="W51" s="268">
        <v>4.2</v>
      </c>
      <c r="X51" s="268">
        <v>5.8</v>
      </c>
      <c r="Y51" s="268">
        <v>10.3</v>
      </c>
      <c r="Z51" s="268">
        <v>14.4</v>
      </c>
      <c r="AA51" s="268">
        <v>17</v>
      </c>
      <c r="AB51" s="268">
        <v>18.5</v>
      </c>
      <c r="AC51" s="268">
        <v>31</v>
      </c>
      <c r="AD51" s="268">
        <v>40.5</v>
      </c>
      <c r="AE51" s="268">
        <v>50</v>
      </c>
      <c r="AF51" s="268">
        <v>61</v>
      </c>
      <c r="AG51" s="268">
        <v>82</v>
      </c>
      <c r="AH51" s="268">
        <v>104</v>
      </c>
      <c r="AI51" s="268">
        <v>135</v>
      </c>
      <c r="AJ51" s="268">
        <v>165</v>
      </c>
      <c r="AK51" s="268">
        <v>204</v>
      </c>
      <c r="AL51" s="254"/>
      <c r="AN51" s="239"/>
      <c r="AO51" s="239"/>
      <c r="AP51" s="239"/>
      <c r="AQ51" s="239"/>
      <c r="AR51" s="239"/>
      <c r="AS51" s="239"/>
      <c r="AT51" s="239"/>
      <c r="AU51" s="239"/>
      <c r="AV51" s="239"/>
      <c r="AW51" s="239"/>
      <c r="AX51" s="239"/>
      <c r="AY51" s="239"/>
      <c r="AZ51" s="239"/>
      <c r="BA51" s="239"/>
      <c r="BB51" s="239"/>
      <c r="BC51" s="239"/>
      <c r="BD51" s="239"/>
      <c r="BE51" s="239"/>
      <c r="BF51" s="239"/>
      <c r="BG51" s="239"/>
      <c r="BH51" s="239"/>
      <c r="BI51" s="239"/>
      <c r="BJ51" s="239"/>
      <c r="BK51" s="239"/>
      <c r="BL51" s="239"/>
      <c r="BM51" s="239"/>
      <c r="BN51" s="239"/>
      <c r="BO51" s="239"/>
      <c r="BP51" s="239"/>
      <c r="BQ51" s="239"/>
      <c r="BR51" s="239"/>
      <c r="BS51" s="239"/>
      <c r="BT51" s="239"/>
      <c r="BU51" s="239"/>
      <c r="BV51" s="239"/>
      <c r="BW51" s="239"/>
      <c r="BX51" s="239"/>
      <c r="BY51" s="239"/>
      <c r="BZ51" s="239"/>
      <c r="CA51" s="239"/>
      <c r="CB51" s="239"/>
      <c r="CC51" s="239"/>
      <c r="CD51" s="239"/>
      <c r="CE51" s="239"/>
      <c r="CF51" s="239"/>
      <c r="CG51" s="239"/>
      <c r="CH51" s="239"/>
      <c r="CI51" s="239"/>
      <c r="CJ51" s="239"/>
      <c r="CK51" s="239"/>
      <c r="CL51" s="239"/>
      <c r="CM51" s="239"/>
      <c r="CN51" s="239"/>
      <c r="CO51" s="239"/>
      <c r="CP51" s="239"/>
      <c r="CQ51" s="239"/>
      <c r="CR51" s="239"/>
      <c r="CS51" s="239"/>
      <c r="CT51" s="239"/>
      <c r="CU51" s="239"/>
      <c r="CV51" s="239"/>
      <c r="CW51" s="239"/>
      <c r="CX51" s="239"/>
      <c r="CY51" s="239"/>
      <c r="CZ51" s="239"/>
      <c r="DA51" s="239"/>
      <c r="DB51" s="239"/>
      <c r="DC51" s="239"/>
      <c r="DD51" s="239"/>
      <c r="DE51" s="239"/>
      <c r="DF51" s="239"/>
      <c r="DG51" s="239"/>
      <c r="DH51" s="239"/>
      <c r="DI51" s="239"/>
      <c r="DJ51" s="239"/>
      <c r="DK51" s="239"/>
      <c r="DL51" s="239"/>
      <c r="DM51" s="239"/>
      <c r="DN51" s="239"/>
      <c r="DO51" s="239"/>
      <c r="DP51" s="239"/>
      <c r="DQ51" s="239"/>
      <c r="DR51" s="239"/>
      <c r="DS51" s="239"/>
      <c r="DT51" s="239"/>
      <c r="DU51" s="239"/>
      <c r="DV51" s="239"/>
      <c r="DW51" s="239"/>
      <c r="DX51" s="239"/>
      <c r="DY51" s="239"/>
      <c r="DZ51" s="239"/>
      <c r="EA51" s="239"/>
      <c r="EB51" s="239"/>
      <c r="EC51" s="239"/>
      <c r="ED51" s="239"/>
      <c r="EE51" s="239"/>
      <c r="EF51" s="239"/>
      <c r="EG51" s="239"/>
      <c r="EH51" s="239"/>
      <c r="EI51" s="239"/>
      <c r="EJ51" s="239"/>
      <c r="EK51" s="239"/>
      <c r="EL51" s="239"/>
      <c r="EM51" s="239"/>
      <c r="EN51" s="239"/>
      <c r="EO51" s="239"/>
      <c r="EP51" s="239"/>
      <c r="EQ51" s="239"/>
      <c r="ER51" s="239"/>
      <c r="ES51" s="239"/>
      <c r="ET51" s="239"/>
      <c r="EU51" s="239"/>
      <c r="EV51" s="239"/>
      <c r="EW51" s="239"/>
      <c r="EX51" s="239"/>
      <c r="EY51" s="239"/>
      <c r="EZ51" s="239"/>
      <c r="FA51" s="239"/>
      <c r="FB51" s="239"/>
      <c r="FC51" s="239"/>
      <c r="FD51" s="239"/>
      <c r="FE51" s="239"/>
      <c r="FF51" s="239"/>
      <c r="FG51" s="239"/>
      <c r="FH51" s="239"/>
      <c r="FI51" s="239"/>
      <c r="FJ51" s="239"/>
      <c r="FK51" s="239"/>
      <c r="FL51" s="239"/>
      <c r="FM51" s="239"/>
      <c r="FN51" s="239"/>
      <c r="FO51" s="239"/>
      <c r="FP51" s="239"/>
      <c r="FQ51" s="239"/>
      <c r="FR51" s="239"/>
      <c r="FS51" s="239"/>
      <c r="FT51" s="239"/>
      <c r="FU51" s="239"/>
      <c r="FV51" s="239"/>
      <c r="FW51" s="239"/>
    </row>
    <row r="52" spans="1:179" s="236" customFormat="1" ht="18">
      <c r="A52" s="260">
        <v>120</v>
      </c>
      <c r="B52" s="236">
        <v>2.0499999999999998</v>
      </c>
      <c r="C52" s="236">
        <v>4.05</v>
      </c>
      <c r="D52" s="236">
        <v>6.05</v>
      </c>
      <c r="E52" s="236">
        <v>12.05</v>
      </c>
      <c r="F52" s="236">
        <v>15.05</v>
      </c>
      <c r="G52" s="236">
        <v>20</v>
      </c>
      <c r="H52" s="236">
        <v>26</v>
      </c>
      <c r="I52" s="236">
        <v>32</v>
      </c>
      <c r="J52" s="236">
        <v>41</v>
      </c>
      <c r="K52" s="236">
        <v>52</v>
      </c>
      <c r="L52" s="236">
        <v>66</v>
      </c>
      <c r="M52" s="236">
        <v>84</v>
      </c>
      <c r="N52" s="236">
        <v>107</v>
      </c>
      <c r="O52" s="236">
        <v>140</v>
      </c>
      <c r="P52" s="236">
        <v>170</v>
      </c>
      <c r="Q52" s="236">
        <v>210</v>
      </c>
      <c r="R52" s="236">
        <v>355</v>
      </c>
      <c r="S52" s="236">
        <v>590</v>
      </c>
      <c r="T52" s="260"/>
      <c r="V52" s="266">
        <v>120</v>
      </c>
      <c r="W52" s="268">
        <v>4.5999999999999996</v>
      </c>
      <c r="X52" s="268">
        <v>6.1</v>
      </c>
      <c r="Y52" s="268">
        <v>11</v>
      </c>
      <c r="Z52" s="268">
        <v>15.6</v>
      </c>
      <c r="AA52" s="268">
        <v>17.8</v>
      </c>
      <c r="AB52" s="268">
        <v>20.8</v>
      </c>
      <c r="AC52" s="268">
        <v>32.5</v>
      </c>
      <c r="AD52" s="268">
        <v>42.5</v>
      </c>
      <c r="AE52" s="268">
        <v>56</v>
      </c>
      <c r="AF52" s="268">
        <v>68</v>
      </c>
      <c r="AG52" s="268">
        <v>86</v>
      </c>
      <c r="AH52" s="268">
        <v>112</v>
      </c>
      <c r="AI52" s="268">
        <v>145</v>
      </c>
      <c r="AJ52" s="268">
        <v>176</v>
      </c>
      <c r="AK52" s="268">
        <v>215</v>
      </c>
      <c r="AL52" s="253"/>
      <c r="AN52" s="239"/>
      <c r="AO52" s="239"/>
      <c r="AP52" s="239"/>
      <c r="AQ52" s="239"/>
      <c r="AR52" s="239"/>
      <c r="AS52" s="239"/>
      <c r="AT52" s="239"/>
      <c r="AU52" s="239"/>
      <c r="AV52" s="239"/>
      <c r="AW52" s="239"/>
      <c r="AX52" s="239"/>
      <c r="AY52" s="239"/>
      <c r="AZ52" s="239"/>
      <c r="BA52" s="239"/>
      <c r="BB52" s="239"/>
      <c r="BC52" s="239"/>
      <c r="BD52" s="239"/>
      <c r="BE52" s="239"/>
      <c r="BF52" s="239"/>
      <c r="BG52" s="239"/>
      <c r="BH52" s="239"/>
      <c r="BI52" s="239"/>
      <c r="BJ52" s="239"/>
      <c r="BK52" s="239"/>
      <c r="BL52" s="239"/>
      <c r="BM52" s="239"/>
      <c r="BN52" s="239"/>
      <c r="BO52" s="239"/>
      <c r="BP52" s="239"/>
      <c r="BQ52" s="239"/>
      <c r="BR52" s="239"/>
      <c r="BS52" s="239"/>
      <c r="BT52" s="239"/>
      <c r="BU52" s="239"/>
      <c r="BV52" s="239"/>
      <c r="BW52" s="239"/>
      <c r="BX52" s="239"/>
      <c r="BY52" s="239"/>
      <c r="BZ52" s="239"/>
      <c r="CA52" s="239"/>
      <c r="CB52" s="239"/>
      <c r="CC52" s="239"/>
      <c r="CD52" s="239"/>
      <c r="CE52" s="239"/>
      <c r="CF52" s="239"/>
      <c r="CG52" s="239"/>
      <c r="CH52" s="239"/>
      <c r="CI52" s="239"/>
      <c r="CJ52" s="239"/>
      <c r="CK52" s="239"/>
      <c r="CL52" s="239"/>
      <c r="CM52" s="239"/>
      <c r="CN52" s="239"/>
      <c r="CO52" s="239"/>
      <c r="CP52" s="239"/>
      <c r="CQ52" s="239"/>
      <c r="CR52" s="239"/>
      <c r="CS52" s="239"/>
      <c r="CT52" s="239"/>
      <c r="CU52" s="239"/>
      <c r="CV52" s="239"/>
      <c r="CW52" s="239"/>
      <c r="CX52" s="239"/>
      <c r="CY52" s="239"/>
      <c r="CZ52" s="239"/>
      <c r="DA52" s="239"/>
      <c r="DB52" s="239"/>
      <c r="DC52" s="239"/>
      <c r="DD52" s="239"/>
      <c r="DE52" s="239"/>
      <c r="DF52" s="239"/>
      <c r="DG52" s="239"/>
      <c r="DH52" s="239"/>
      <c r="DI52" s="239"/>
      <c r="DJ52" s="239"/>
      <c r="DK52" s="239"/>
      <c r="DL52" s="239"/>
      <c r="DM52" s="239"/>
      <c r="DN52" s="239"/>
      <c r="DO52" s="239"/>
      <c r="DP52" s="239"/>
      <c r="DQ52" s="239"/>
      <c r="DR52" s="239"/>
      <c r="DS52" s="239"/>
      <c r="DT52" s="239"/>
      <c r="DU52" s="239"/>
      <c r="DV52" s="239"/>
      <c r="DW52" s="239"/>
      <c r="DX52" s="239"/>
      <c r="DY52" s="239"/>
      <c r="DZ52" s="239"/>
      <c r="EA52" s="239"/>
      <c r="EB52" s="239"/>
      <c r="EC52" s="239"/>
      <c r="ED52" s="239"/>
      <c r="EE52" s="239"/>
      <c r="EF52" s="239"/>
      <c r="EG52" s="239"/>
      <c r="EH52" s="239"/>
      <c r="EI52" s="239"/>
      <c r="EJ52" s="239"/>
      <c r="EK52" s="239"/>
      <c r="EL52" s="239"/>
      <c r="EM52" s="239"/>
      <c r="EN52" s="239"/>
      <c r="EO52" s="239"/>
      <c r="EP52" s="239"/>
      <c r="EQ52" s="239"/>
      <c r="ER52" s="239"/>
      <c r="ES52" s="239"/>
      <c r="ET52" s="239"/>
      <c r="EU52" s="239"/>
      <c r="EV52" s="239"/>
      <c r="EW52" s="239"/>
      <c r="EX52" s="239"/>
      <c r="EY52" s="239"/>
      <c r="EZ52" s="239"/>
      <c r="FA52" s="239"/>
      <c r="FB52" s="239"/>
      <c r="FC52" s="239"/>
      <c r="FD52" s="239"/>
      <c r="FE52" s="239"/>
      <c r="FF52" s="239"/>
      <c r="FG52" s="239"/>
      <c r="FH52" s="239"/>
      <c r="FI52" s="239"/>
      <c r="FJ52" s="239"/>
      <c r="FK52" s="239"/>
      <c r="FL52" s="239"/>
      <c r="FM52" s="239"/>
      <c r="FN52" s="239"/>
      <c r="FO52" s="239"/>
      <c r="FP52" s="239"/>
      <c r="FQ52" s="239"/>
      <c r="FR52" s="239"/>
      <c r="FS52" s="239"/>
      <c r="FT52" s="239"/>
      <c r="FU52" s="239"/>
      <c r="FV52" s="239"/>
      <c r="FW52" s="239"/>
    </row>
    <row r="53" spans="1:179" s="236" customFormat="1" ht="18">
      <c r="A53" s="260">
        <v>60</v>
      </c>
      <c r="B53" s="236">
        <v>2.1</v>
      </c>
      <c r="C53" s="236">
        <v>4.0999999999999996</v>
      </c>
      <c r="D53" s="236">
        <v>6.1</v>
      </c>
      <c r="E53" s="236">
        <v>12.1</v>
      </c>
      <c r="F53" s="236">
        <v>15.1</v>
      </c>
      <c r="G53" s="236">
        <v>21</v>
      </c>
      <c r="H53" s="236">
        <v>27</v>
      </c>
      <c r="I53" s="236">
        <v>34</v>
      </c>
      <c r="J53" s="236">
        <v>42</v>
      </c>
      <c r="K53" s="236">
        <v>56</v>
      </c>
      <c r="L53" s="236">
        <v>70</v>
      </c>
      <c r="M53" s="236">
        <v>88</v>
      </c>
      <c r="N53" s="236">
        <v>110</v>
      </c>
      <c r="O53" s="236">
        <v>144</v>
      </c>
      <c r="P53" s="236">
        <v>180</v>
      </c>
      <c r="Q53" s="236">
        <v>225</v>
      </c>
      <c r="R53" s="236">
        <v>370</v>
      </c>
      <c r="S53" s="236">
        <v>650</v>
      </c>
      <c r="T53" s="260"/>
      <c r="V53" s="266">
        <v>60</v>
      </c>
      <c r="W53" s="268">
        <v>5.5</v>
      </c>
      <c r="X53" s="268">
        <v>7.6</v>
      </c>
      <c r="Y53" s="268">
        <v>13</v>
      </c>
      <c r="Z53" s="268">
        <v>17.2</v>
      </c>
      <c r="AA53" s="268">
        <v>20</v>
      </c>
      <c r="AB53" s="268">
        <v>25</v>
      </c>
      <c r="AC53" s="268">
        <v>36</v>
      </c>
      <c r="AD53" s="268">
        <v>44</v>
      </c>
      <c r="AE53" s="268">
        <v>62</v>
      </c>
      <c r="AF53" s="268">
        <v>75</v>
      </c>
      <c r="AG53" s="268">
        <v>95</v>
      </c>
      <c r="AH53" s="268">
        <v>125</v>
      </c>
      <c r="AI53" s="268">
        <v>160</v>
      </c>
      <c r="AJ53" s="268">
        <v>195</v>
      </c>
      <c r="AK53" s="268">
        <v>240</v>
      </c>
      <c r="AL53" s="253"/>
      <c r="AN53" s="239"/>
      <c r="AO53" s="239"/>
      <c r="AP53" s="239"/>
      <c r="AQ53" s="239"/>
      <c r="AR53" s="239"/>
      <c r="AS53" s="239"/>
      <c r="AT53" s="239"/>
      <c r="AU53" s="239"/>
      <c r="AV53" s="239"/>
      <c r="AW53" s="239"/>
      <c r="AX53" s="239"/>
      <c r="AY53" s="239"/>
      <c r="AZ53" s="239"/>
      <c r="BA53" s="239"/>
      <c r="BB53" s="239"/>
      <c r="BC53" s="239"/>
      <c r="BD53" s="239"/>
      <c r="BE53" s="239"/>
      <c r="BF53" s="239"/>
      <c r="BG53" s="239"/>
      <c r="BH53" s="239"/>
      <c r="BI53" s="239"/>
      <c r="BJ53" s="239"/>
      <c r="BK53" s="239"/>
      <c r="BL53" s="239"/>
      <c r="BM53" s="239"/>
      <c r="BN53" s="239"/>
      <c r="BO53" s="239"/>
      <c r="BP53" s="239"/>
      <c r="BQ53" s="239"/>
      <c r="BR53" s="239"/>
      <c r="BS53" s="239"/>
      <c r="BT53" s="239"/>
      <c r="BU53" s="239"/>
      <c r="BV53" s="239"/>
      <c r="BW53" s="239"/>
      <c r="BX53" s="239"/>
      <c r="BY53" s="239"/>
      <c r="BZ53" s="239"/>
      <c r="CA53" s="239"/>
      <c r="CB53" s="239"/>
      <c r="CC53" s="239"/>
      <c r="CD53" s="239"/>
      <c r="CE53" s="239"/>
      <c r="CF53" s="239"/>
      <c r="CG53" s="239"/>
      <c r="CH53" s="239"/>
      <c r="CI53" s="239"/>
      <c r="CJ53" s="239"/>
      <c r="CK53" s="239"/>
      <c r="CL53" s="239"/>
      <c r="CM53" s="239"/>
      <c r="CN53" s="239"/>
      <c r="CO53" s="239"/>
      <c r="CP53" s="239"/>
      <c r="CQ53" s="239"/>
      <c r="CR53" s="239"/>
      <c r="CS53" s="239"/>
      <c r="CT53" s="239"/>
      <c r="CU53" s="239"/>
      <c r="CV53" s="239"/>
      <c r="CW53" s="239"/>
      <c r="CX53" s="239"/>
      <c r="CY53" s="239"/>
      <c r="CZ53" s="239"/>
      <c r="DA53" s="239"/>
      <c r="DB53" s="239"/>
      <c r="DC53" s="239"/>
      <c r="DD53" s="239"/>
      <c r="DE53" s="239"/>
      <c r="DF53" s="239"/>
      <c r="DG53" s="239"/>
      <c r="DH53" s="239"/>
      <c r="DI53" s="239"/>
      <c r="DJ53" s="239"/>
      <c r="DK53" s="239"/>
      <c r="DL53" s="239"/>
      <c r="DM53" s="239"/>
      <c r="DN53" s="239"/>
      <c r="DO53" s="239"/>
      <c r="DP53" s="239"/>
      <c r="DQ53" s="239"/>
      <c r="DR53" s="239"/>
      <c r="DS53" s="239"/>
      <c r="DT53" s="239"/>
      <c r="DU53" s="239"/>
      <c r="DV53" s="239"/>
      <c r="DW53" s="239"/>
      <c r="DX53" s="239"/>
      <c r="DY53" s="239"/>
      <c r="DZ53" s="239"/>
      <c r="EA53" s="239"/>
      <c r="EB53" s="239"/>
      <c r="EC53" s="239"/>
      <c r="ED53" s="239"/>
      <c r="EE53" s="239"/>
      <c r="EF53" s="239"/>
      <c r="EG53" s="239"/>
      <c r="EH53" s="239"/>
      <c r="EI53" s="239"/>
      <c r="EJ53" s="239"/>
      <c r="EK53" s="239"/>
      <c r="EL53" s="239"/>
      <c r="EM53" s="239"/>
      <c r="EN53" s="239"/>
      <c r="EO53" s="239"/>
      <c r="EP53" s="239"/>
      <c r="EQ53" s="239"/>
      <c r="ER53" s="239"/>
      <c r="ES53" s="239"/>
      <c r="ET53" s="239"/>
      <c r="EU53" s="239"/>
      <c r="EV53" s="239"/>
      <c r="EW53" s="239"/>
      <c r="EX53" s="239"/>
      <c r="EY53" s="239"/>
      <c r="EZ53" s="239"/>
      <c r="FA53" s="239"/>
      <c r="FB53" s="239"/>
      <c r="FC53" s="239"/>
      <c r="FD53" s="239"/>
      <c r="FE53" s="239"/>
      <c r="FF53" s="239"/>
      <c r="FG53" s="239"/>
      <c r="FH53" s="239"/>
      <c r="FI53" s="239"/>
      <c r="FJ53" s="239"/>
      <c r="FK53" s="239"/>
      <c r="FL53" s="239"/>
      <c r="FM53" s="239"/>
      <c r="FN53" s="239"/>
      <c r="FO53" s="239"/>
      <c r="FP53" s="239"/>
      <c r="FQ53" s="239"/>
      <c r="FR53" s="239"/>
      <c r="FS53" s="239"/>
      <c r="FT53" s="239"/>
      <c r="FU53" s="239"/>
      <c r="FV53" s="239"/>
      <c r="FW53" s="239"/>
    </row>
    <row r="54" spans="1:179" s="236" customFormat="1" ht="18">
      <c r="A54" s="260">
        <v>30</v>
      </c>
      <c r="B54" s="236">
        <v>2.15</v>
      </c>
      <c r="C54" s="236">
        <v>4.1500000000000004</v>
      </c>
      <c r="D54" s="236">
        <v>6.2</v>
      </c>
      <c r="E54" s="236">
        <v>12.2</v>
      </c>
      <c r="F54" s="236">
        <v>16</v>
      </c>
      <c r="G54" s="236">
        <v>22</v>
      </c>
      <c r="H54" s="236">
        <v>28</v>
      </c>
      <c r="I54" s="236">
        <v>35</v>
      </c>
      <c r="J54" s="236">
        <v>45</v>
      </c>
      <c r="K54" s="236">
        <v>60</v>
      </c>
      <c r="L54" s="236">
        <v>72</v>
      </c>
      <c r="M54" s="236">
        <v>91</v>
      </c>
      <c r="N54" s="236">
        <v>120</v>
      </c>
      <c r="O54" s="236">
        <v>150</v>
      </c>
      <c r="P54" s="236">
        <v>190</v>
      </c>
      <c r="Q54" s="236">
        <v>240</v>
      </c>
      <c r="R54" s="236">
        <v>410</v>
      </c>
      <c r="S54" s="236">
        <v>700</v>
      </c>
      <c r="T54" s="260"/>
      <c r="V54" s="266">
        <v>30</v>
      </c>
      <c r="W54" s="268">
        <v>6.9</v>
      </c>
      <c r="X54" s="268">
        <v>10</v>
      </c>
      <c r="Y54" s="268">
        <v>15.8</v>
      </c>
      <c r="Z54" s="268">
        <v>21</v>
      </c>
      <c r="AA54" s="268">
        <v>24</v>
      </c>
      <c r="AB54" s="268">
        <v>31</v>
      </c>
      <c r="AC54" s="268">
        <v>42</v>
      </c>
      <c r="AD54" s="268">
        <v>54</v>
      </c>
      <c r="AE54" s="268">
        <v>70</v>
      </c>
      <c r="AF54" s="268">
        <v>85</v>
      </c>
      <c r="AG54" s="268">
        <v>109</v>
      </c>
      <c r="AH54" s="268">
        <v>140</v>
      </c>
      <c r="AI54" s="268">
        <v>185</v>
      </c>
      <c r="AJ54" s="268">
        <v>225</v>
      </c>
      <c r="AK54" s="268">
        <v>270</v>
      </c>
      <c r="AL54" s="253"/>
      <c r="AN54" s="239"/>
      <c r="AO54" s="239"/>
      <c r="AP54" s="239"/>
      <c r="AQ54" s="239"/>
      <c r="AR54" s="239"/>
      <c r="AS54" s="239"/>
      <c r="AT54" s="239"/>
      <c r="AU54" s="239"/>
      <c r="AV54" s="239"/>
      <c r="AW54" s="239"/>
      <c r="AX54" s="239"/>
      <c r="AY54" s="239"/>
      <c r="AZ54" s="239"/>
      <c r="BA54" s="239"/>
      <c r="BB54" s="239"/>
      <c r="BC54" s="239"/>
      <c r="BD54" s="239"/>
      <c r="BE54" s="239"/>
      <c r="BF54" s="239"/>
      <c r="BG54" s="239"/>
      <c r="BH54" s="239"/>
      <c r="BI54" s="239"/>
      <c r="BJ54" s="239"/>
      <c r="BK54" s="239"/>
      <c r="BL54" s="239"/>
      <c r="BM54" s="239"/>
      <c r="BN54" s="239"/>
      <c r="BO54" s="239"/>
      <c r="BP54" s="239"/>
      <c r="BQ54" s="239"/>
      <c r="BR54" s="239"/>
      <c r="BS54" s="239"/>
      <c r="BT54" s="239"/>
      <c r="BU54" s="239"/>
      <c r="BV54" s="239"/>
      <c r="BW54" s="239"/>
      <c r="BX54" s="239"/>
      <c r="BY54" s="239"/>
      <c r="BZ54" s="239"/>
      <c r="CA54" s="239"/>
      <c r="CB54" s="239"/>
      <c r="CC54" s="239"/>
      <c r="CD54" s="239"/>
      <c r="CE54" s="239"/>
      <c r="CF54" s="239"/>
      <c r="CG54" s="239"/>
      <c r="CH54" s="239"/>
      <c r="CI54" s="239"/>
      <c r="CJ54" s="239"/>
      <c r="CK54" s="239"/>
      <c r="CL54" s="239"/>
      <c r="CM54" s="239"/>
      <c r="CN54" s="239"/>
      <c r="CO54" s="239"/>
      <c r="CP54" s="239"/>
      <c r="CQ54" s="239"/>
      <c r="CR54" s="239"/>
      <c r="CS54" s="239"/>
      <c r="CT54" s="239"/>
      <c r="CU54" s="239"/>
      <c r="CV54" s="239"/>
      <c r="CW54" s="239"/>
      <c r="CX54" s="239"/>
      <c r="CY54" s="239"/>
      <c r="CZ54" s="239"/>
      <c r="DA54" s="239"/>
      <c r="DB54" s="239"/>
      <c r="DC54" s="239"/>
      <c r="DD54" s="239"/>
      <c r="DE54" s="239"/>
      <c r="DF54" s="239"/>
      <c r="DG54" s="239"/>
      <c r="DH54" s="239"/>
      <c r="DI54" s="239"/>
      <c r="DJ54" s="239"/>
      <c r="DK54" s="239"/>
      <c r="DL54" s="239"/>
      <c r="DM54" s="239"/>
      <c r="DN54" s="239"/>
      <c r="DO54" s="239"/>
      <c r="DP54" s="239"/>
      <c r="DQ54" s="239"/>
      <c r="DR54" s="239"/>
      <c r="DS54" s="239"/>
      <c r="DT54" s="239"/>
      <c r="DU54" s="239"/>
      <c r="DV54" s="239"/>
      <c r="DW54" s="239"/>
      <c r="DX54" s="239"/>
      <c r="DY54" s="239"/>
      <c r="DZ54" s="239"/>
      <c r="EA54" s="239"/>
      <c r="EB54" s="239"/>
      <c r="EC54" s="239"/>
      <c r="ED54" s="239"/>
      <c r="EE54" s="239"/>
      <c r="EF54" s="239"/>
      <c r="EG54" s="239"/>
      <c r="EH54" s="239"/>
      <c r="EI54" s="239"/>
      <c r="EJ54" s="239"/>
      <c r="EK54" s="239"/>
      <c r="EL54" s="239"/>
      <c r="EM54" s="239"/>
      <c r="EN54" s="239"/>
      <c r="EO54" s="239"/>
      <c r="EP54" s="239"/>
      <c r="EQ54" s="239"/>
      <c r="ER54" s="239"/>
      <c r="ES54" s="239"/>
      <c r="ET54" s="239"/>
      <c r="EU54" s="239"/>
      <c r="EV54" s="239"/>
      <c r="EW54" s="239"/>
      <c r="EX54" s="239"/>
      <c r="EY54" s="239"/>
      <c r="EZ54" s="239"/>
      <c r="FA54" s="239"/>
      <c r="FB54" s="239"/>
      <c r="FC54" s="239"/>
      <c r="FD54" s="239"/>
      <c r="FE54" s="239"/>
      <c r="FF54" s="239"/>
      <c r="FG54" s="239"/>
      <c r="FH54" s="239"/>
      <c r="FI54" s="239"/>
      <c r="FJ54" s="239"/>
      <c r="FK54" s="239"/>
      <c r="FL54" s="239"/>
      <c r="FM54" s="239"/>
      <c r="FN54" s="239"/>
      <c r="FO54" s="239"/>
      <c r="FP54" s="239"/>
      <c r="FQ54" s="239"/>
      <c r="FR54" s="239"/>
      <c r="FS54" s="239"/>
      <c r="FT54" s="239"/>
      <c r="FU54" s="239"/>
      <c r="FV54" s="239"/>
      <c r="FW54" s="239"/>
    </row>
    <row r="55" spans="1:179" s="236" customFormat="1" ht="18">
      <c r="A55" s="260">
        <v>10</v>
      </c>
      <c r="B55" s="236">
        <v>2.2000000000000002</v>
      </c>
      <c r="C55" s="236">
        <v>4.5999999999999996</v>
      </c>
      <c r="D55" s="236">
        <v>7.1</v>
      </c>
      <c r="E55" s="236">
        <v>13.5</v>
      </c>
      <c r="F55" s="236">
        <v>18</v>
      </c>
      <c r="G55" s="236">
        <v>25</v>
      </c>
      <c r="H55" s="236">
        <v>31</v>
      </c>
      <c r="I55" s="236">
        <v>41</v>
      </c>
      <c r="J55" s="236">
        <v>50</v>
      </c>
      <c r="K55" s="236">
        <v>68</v>
      </c>
      <c r="L55" s="236">
        <v>82</v>
      </c>
      <c r="M55" s="236">
        <v>108</v>
      </c>
      <c r="N55" s="236">
        <v>138</v>
      </c>
      <c r="O55" s="236">
        <v>180</v>
      </c>
      <c r="P55" s="236">
        <v>220</v>
      </c>
      <c r="Q55" s="236">
        <v>290</v>
      </c>
      <c r="R55" s="236">
        <v>500</v>
      </c>
      <c r="S55" s="236">
        <v>880</v>
      </c>
      <c r="T55" s="260"/>
      <c r="V55" s="266">
        <v>10</v>
      </c>
      <c r="W55" s="268">
        <v>10.5</v>
      </c>
      <c r="X55" s="268">
        <v>16.5</v>
      </c>
      <c r="Y55" s="268">
        <v>23</v>
      </c>
      <c r="Z55" s="268">
        <v>32</v>
      </c>
      <c r="AA55" s="268">
        <v>36.5</v>
      </c>
      <c r="AB55" s="268">
        <v>46</v>
      </c>
      <c r="AC55" s="268">
        <v>61</v>
      </c>
      <c r="AD55" s="268">
        <v>80</v>
      </c>
      <c r="AE55" s="268">
        <v>100</v>
      </c>
      <c r="AF55" s="268">
        <v>117</v>
      </c>
      <c r="AG55" s="268">
        <v>155</v>
      </c>
      <c r="AH55" s="268">
        <v>190</v>
      </c>
      <c r="AI55" s="268">
        <v>260</v>
      </c>
      <c r="AJ55" s="268">
        <v>310</v>
      </c>
      <c r="AK55" s="268">
        <v>380</v>
      </c>
      <c r="AL55" s="253"/>
      <c r="AN55" s="239"/>
      <c r="AO55" s="239"/>
      <c r="AP55" s="239"/>
      <c r="AQ55" s="239"/>
      <c r="AR55" s="239"/>
      <c r="AS55" s="239"/>
      <c r="AT55" s="239"/>
      <c r="AU55" s="239"/>
      <c r="AV55" s="239"/>
      <c r="AW55" s="239"/>
      <c r="AX55" s="239"/>
      <c r="AY55" s="239"/>
      <c r="AZ55" s="239"/>
      <c r="BA55" s="239"/>
      <c r="BB55" s="239"/>
      <c r="BC55" s="239"/>
      <c r="BD55" s="239"/>
      <c r="BE55" s="239"/>
      <c r="BF55" s="239"/>
      <c r="BG55" s="239"/>
      <c r="BH55" s="239"/>
      <c r="BI55" s="239"/>
      <c r="BJ55" s="239"/>
      <c r="BK55" s="239"/>
      <c r="BL55" s="239"/>
      <c r="BM55" s="239"/>
      <c r="BN55" s="239"/>
      <c r="BO55" s="239"/>
      <c r="BP55" s="239"/>
      <c r="BQ55" s="239"/>
      <c r="BR55" s="239"/>
      <c r="BS55" s="239"/>
      <c r="BT55" s="239"/>
      <c r="BU55" s="239"/>
      <c r="BV55" s="239"/>
      <c r="BW55" s="239"/>
      <c r="BX55" s="239"/>
      <c r="BY55" s="239"/>
      <c r="BZ55" s="239"/>
      <c r="CA55" s="239"/>
      <c r="CB55" s="239"/>
      <c r="CC55" s="239"/>
      <c r="CD55" s="239"/>
      <c r="CE55" s="239"/>
      <c r="CF55" s="239"/>
      <c r="CG55" s="239"/>
      <c r="CH55" s="239"/>
      <c r="CI55" s="239"/>
      <c r="CJ55" s="239"/>
      <c r="CK55" s="239"/>
      <c r="CL55" s="239"/>
      <c r="CM55" s="239"/>
      <c r="CN55" s="239"/>
      <c r="CO55" s="239"/>
      <c r="CP55" s="239"/>
      <c r="CQ55" s="239"/>
      <c r="CR55" s="239"/>
      <c r="CS55" s="239"/>
      <c r="CT55" s="239"/>
      <c r="CU55" s="239"/>
      <c r="CV55" s="239"/>
      <c r="CW55" s="239"/>
      <c r="CX55" s="239"/>
      <c r="CY55" s="239"/>
      <c r="CZ55" s="239"/>
      <c r="DA55" s="239"/>
      <c r="DB55" s="239"/>
      <c r="DC55" s="239"/>
      <c r="DD55" s="239"/>
      <c r="DE55" s="239"/>
      <c r="DF55" s="239"/>
      <c r="DG55" s="239"/>
      <c r="DH55" s="239"/>
      <c r="DI55" s="239"/>
      <c r="DJ55" s="239"/>
      <c r="DK55" s="239"/>
      <c r="DL55" s="239"/>
      <c r="DM55" s="239"/>
      <c r="DN55" s="239"/>
      <c r="DO55" s="239"/>
      <c r="DP55" s="239"/>
      <c r="DQ55" s="239"/>
      <c r="DR55" s="239"/>
      <c r="DS55" s="239"/>
      <c r="DT55" s="239"/>
      <c r="DU55" s="239"/>
      <c r="DV55" s="239"/>
      <c r="DW55" s="239"/>
      <c r="DX55" s="239"/>
      <c r="DY55" s="239"/>
      <c r="DZ55" s="239"/>
      <c r="EA55" s="239"/>
      <c r="EB55" s="239"/>
      <c r="EC55" s="239"/>
      <c r="ED55" s="239"/>
      <c r="EE55" s="239"/>
      <c r="EF55" s="239"/>
      <c r="EG55" s="239"/>
      <c r="EH55" s="239"/>
      <c r="EI55" s="239"/>
      <c r="EJ55" s="239"/>
      <c r="EK55" s="239"/>
      <c r="EL55" s="239"/>
      <c r="EM55" s="239"/>
      <c r="EN55" s="239"/>
      <c r="EO55" s="239"/>
      <c r="EP55" s="239"/>
      <c r="EQ55" s="239"/>
      <c r="ER55" s="239"/>
      <c r="ES55" s="239"/>
      <c r="ET55" s="239"/>
      <c r="EU55" s="239"/>
      <c r="EV55" s="239"/>
      <c r="EW55" s="239"/>
      <c r="EX55" s="239"/>
      <c r="EY55" s="239"/>
      <c r="EZ55" s="239"/>
      <c r="FA55" s="239"/>
      <c r="FB55" s="239"/>
      <c r="FC55" s="239"/>
      <c r="FD55" s="239"/>
      <c r="FE55" s="239"/>
      <c r="FF55" s="239"/>
      <c r="FG55" s="239"/>
      <c r="FH55" s="239"/>
      <c r="FI55" s="239"/>
      <c r="FJ55" s="239"/>
      <c r="FK55" s="239"/>
      <c r="FL55" s="239"/>
      <c r="FM55" s="239"/>
      <c r="FN55" s="239"/>
      <c r="FO55" s="239"/>
      <c r="FP55" s="239"/>
      <c r="FQ55" s="239"/>
      <c r="FR55" s="239"/>
      <c r="FS55" s="239"/>
      <c r="FT55" s="239"/>
      <c r="FU55" s="239"/>
      <c r="FV55" s="239"/>
      <c r="FW55" s="239"/>
    </row>
    <row r="56" spans="1:179" s="236" customFormat="1" ht="18">
      <c r="A56" s="260">
        <v>4</v>
      </c>
      <c r="B56" s="271">
        <v>3</v>
      </c>
      <c r="C56" s="271">
        <v>6</v>
      </c>
      <c r="D56" s="271">
        <v>8</v>
      </c>
      <c r="E56" s="270">
        <v>16.5</v>
      </c>
      <c r="F56" s="271">
        <v>20</v>
      </c>
      <c r="G56" s="271">
        <v>27</v>
      </c>
      <c r="H56" s="271">
        <v>60</v>
      </c>
      <c r="I56" s="271">
        <v>45</v>
      </c>
      <c r="J56" s="271">
        <v>59</v>
      </c>
      <c r="K56" s="271">
        <v>74</v>
      </c>
      <c r="L56" s="271">
        <v>91</v>
      </c>
      <c r="M56" s="271">
        <v>115</v>
      </c>
      <c r="N56" s="271">
        <v>145</v>
      </c>
      <c r="O56" s="271">
        <v>185</v>
      </c>
      <c r="P56" s="271">
        <v>240</v>
      </c>
      <c r="Q56" s="271">
        <v>295</v>
      </c>
      <c r="R56" s="271">
        <v>515</v>
      </c>
      <c r="S56" s="271">
        <v>900</v>
      </c>
      <c r="T56" s="260"/>
      <c r="V56" s="266">
        <v>4</v>
      </c>
      <c r="W56" s="268">
        <v>14</v>
      </c>
      <c r="X56" s="268">
        <v>23</v>
      </c>
      <c r="Y56" s="268">
        <v>32.5</v>
      </c>
      <c r="Z56" s="268">
        <v>47</v>
      </c>
      <c r="AA56" s="268">
        <v>55</v>
      </c>
      <c r="AB56" s="268">
        <v>70</v>
      </c>
      <c r="AC56" s="268">
        <v>91</v>
      </c>
      <c r="AD56" s="268">
        <v>118</v>
      </c>
      <c r="AE56" s="268">
        <v>148</v>
      </c>
      <c r="AF56" s="268">
        <v>180</v>
      </c>
      <c r="AG56" s="268">
        <v>238</v>
      </c>
      <c r="AH56" s="268">
        <v>290</v>
      </c>
      <c r="AI56" s="268">
        <v>380</v>
      </c>
      <c r="AJ56" s="268">
        <v>460</v>
      </c>
      <c r="AK56" s="268">
        <v>550</v>
      </c>
      <c r="AL56" s="253"/>
      <c r="AN56" s="239"/>
      <c r="AO56" s="239"/>
      <c r="AP56" s="239"/>
      <c r="AQ56" s="239"/>
      <c r="AR56" s="239"/>
      <c r="AS56" s="239"/>
      <c r="AT56" s="239"/>
      <c r="AU56" s="239"/>
      <c r="AV56" s="239"/>
      <c r="AW56" s="239"/>
      <c r="AX56" s="239"/>
      <c r="AY56" s="239"/>
      <c r="AZ56" s="239"/>
      <c r="BA56" s="239"/>
      <c r="BB56" s="239"/>
      <c r="BC56" s="239"/>
      <c r="BD56" s="239"/>
      <c r="BE56" s="239"/>
      <c r="BF56" s="239"/>
      <c r="BG56" s="239"/>
      <c r="BH56" s="239"/>
      <c r="BI56" s="239"/>
      <c r="BJ56" s="239"/>
      <c r="BK56" s="239"/>
      <c r="BL56" s="239"/>
      <c r="BM56" s="239"/>
      <c r="BN56" s="239"/>
      <c r="BO56" s="239"/>
      <c r="BP56" s="239"/>
      <c r="BQ56" s="239"/>
      <c r="BR56" s="239"/>
      <c r="BS56" s="239"/>
      <c r="BT56" s="239"/>
      <c r="BU56" s="239"/>
      <c r="BV56" s="239"/>
      <c r="BW56" s="239"/>
      <c r="BX56" s="239"/>
      <c r="BY56" s="239"/>
      <c r="BZ56" s="239"/>
      <c r="CA56" s="239"/>
      <c r="CB56" s="239"/>
      <c r="CC56" s="239"/>
      <c r="CD56" s="239"/>
      <c r="CE56" s="239"/>
      <c r="CF56" s="239"/>
      <c r="CG56" s="239"/>
      <c r="CH56" s="239"/>
      <c r="CI56" s="239"/>
      <c r="CJ56" s="239"/>
      <c r="CK56" s="239"/>
      <c r="CL56" s="239"/>
      <c r="CM56" s="239"/>
      <c r="CN56" s="239"/>
      <c r="CO56" s="239"/>
      <c r="CP56" s="239"/>
      <c r="CQ56" s="239"/>
      <c r="CR56" s="239"/>
      <c r="CS56" s="239"/>
      <c r="CT56" s="239"/>
      <c r="CU56" s="239"/>
      <c r="CV56" s="239"/>
      <c r="CW56" s="239"/>
      <c r="CX56" s="239"/>
      <c r="CY56" s="239"/>
      <c r="CZ56" s="239"/>
      <c r="DA56" s="239"/>
      <c r="DB56" s="239"/>
      <c r="DC56" s="239"/>
      <c r="DD56" s="239"/>
      <c r="DE56" s="239"/>
      <c r="DF56" s="239"/>
      <c r="DG56" s="239"/>
      <c r="DH56" s="239"/>
      <c r="DI56" s="239"/>
      <c r="DJ56" s="239"/>
      <c r="DK56" s="239"/>
      <c r="DL56" s="239"/>
      <c r="DM56" s="239"/>
      <c r="DN56" s="239"/>
      <c r="DO56" s="239"/>
      <c r="DP56" s="239"/>
      <c r="DQ56" s="239"/>
      <c r="DR56" s="239"/>
      <c r="DS56" s="239"/>
      <c r="DT56" s="239"/>
      <c r="DU56" s="239"/>
      <c r="DV56" s="239"/>
      <c r="DW56" s="239"/>
      <c r="DX56" s="239"/>
      <c r="DY56" s="239"/>
      <c r="DZ56" s="239"/>
      <c r="EA56" s="239"/>
      <c r="EB56" s="239"/>
      <c r="EC56" s="239"/>
      <c r="ED56" s="239"/>
      <c r="EE56" s="239"/>
      <c r="EF56" s="239"/>
      <c r="EG56" s="239"/>
      <c r="EH56" s="239"/>
      <c r="EI56" s="239"/>
      <c r="EJ56" s="239"/>
      <c r="EK56" s="239"/>
      <c r="EL56" s="239"/>
      <c r="EM56" s="239"/>
      <c r="EN56" s="239"/>
      <c r="EO56" s="239"/>
      <c r="EP56" s="239"/>
      <c r="EQ56" s="239"/>
      <c r="ER56" s="239"/>
      <c r="ES56" s="239"/>
      <c r="ET56" s="239"/>
      <c r="EU56" s="239"/>
      <c r="EV56" s="239"/>
      <c r="EW56" s="239"/>
      <c r="EX56" s="239"/>
      <c r="EY56" s="239"/>
      <c r="EZ56" s="239"/>
      <c r="FA56" s="239"/>
      <c r="FB56" s="239"/>
      <c r="FC56" s="239"/>
      <c r="FD56" s="239"/>
      <c r="FE56" s="239"/>
      <c r="FF56" s="239"/>
      <c r="FG56" s="239"/>
      <c r="FH56" s="239"/>
      <c r="FI56" s="239"/>
      <c r="FJ56" s="239"/>
      <c r="FK56" s="239"/>
      <c r="FL56" s="239"/>
      <c r="FM56" s="239"/>
      <c r="FN56" s="239"/>
      <c r="FO56" s="239"/>
      <c r="FP56" s="239"/>
      <c r="FQ56" s="239"/>
      <c r="FR56" s="239"/>
      <c r="FS56" s="239"/>
      <c r="FT56" s="239"/>
      <c r="FU56" s="239"/>
      <c r="FV56" s="239"/>
      <c r="FW56" s="239"/>
    </row>
    <row r="57" spans="1:179" s="236" customFormat="1" ht="18">
      <c r="A57" s="260">
        <v>2</v>
      </c>
      <c r="B57" s="236">
        <v>3.1</v>
      </c>
      <c r="C57" s="236">
        <v>6.5</v>
      </c>
      <c r="D57" s="236">
        <v>10</v>
      </c>
      <c r="E57" s="236">
        <v>18</v>
      </c>
      <c r="F57" s="236">
        <v>26</v>
      </c>
      <c r="G57" s="236">
        <v>34</v>
      </c>
      <c r="H57" s="236">
        <v>44</v>
      </c>
      <c r="I57" s="236">
        <v>55</v>
      </c>
      <c r="J57" s="236">
        <v>70</v>
      </c>
      <c r="K57" s="236">
        <v>94</v>
      </c>
      <c r="L57" s="236">
        <v>117</v>
      </c>
      <c r="M57" s="236">
        <v>150</v>
      </c>
      <c r="N57" s="236">
        <v>190</v>
      </c>
      <c r="O57" s="236">
        <v>255</v>
      </c>
      <c r="P57" s="236">
        <v>310</v>
      </c>
      <c r="Q57" s="236">
        <v>430</v>
      </c>
      <c r="R57" s="236">
        <v>710</v>
      </c>
      <c r="S57" s="236">
        <v>1280</v>
      </c>
      <c r="T57" s="260"/>
      <c r="V57" s="266">
        <v>2</v>
      </c>
      <c r="W57" s="241"/>
      <c r="X57" s="241"/>
      <c r="Y57" s="241"/>
      <c r="Z57" s="241"/>
      <c r="AA57" s="241"/>
      <c r="AB57" s="241"/>
      <c r="AC57" s="241"/>
      <c r="AD57" s="241"/>
      <c r="AE57" s="241"/>
      <c r="AF57" s="241"/>
      <c r="AG57" s="241"/>
      <c r="AH57" s="241"/>
      <c r="AI57" s="241"/>
      <c r="AJ57" s="241"/>
      <c r="AK57" s="241"/>
      <c r="AL57" s="253"/>
      <c r="AN57" s="239"/>
      <c r="AO57" s="239"/>
      <c r="AP57" s="239"/>
      <c r="AQ57" s="239"/>
      <c r="AR57" s="239"/>
      <c r="AS57" s="239"/>
      <c r="AT57" s="239"/>
      <c r="AU57" s="239"/>
      <c r="AV57" s="239"/>
      <c r="AW57" s="239"/>
      <c r="AX57" s="239"/>
      <c r="AY57" s="239"/>
      <c r="AZ57" s="239"/>
      <c r="BA57" s="239"/>
      <c r="BB57" s="239"/>
      <c r="BC57" s="239"/>
      <c r="BD57" s="239"/>
      <c r="BE57" s="239"/>
      <c r="BF57" s="239"/>
      <c r="BG57" s="239"/>
      <c r="BH57" s="239"/>
      <c r="BI57" s="239"/>
      <c r="BJ57" s="239"/>
      <c r="BK57" s="239"/>
      <c r="BL57" s="239"/>
      <c r="BM57" s="239"/>
      <c r="BN57" s="239"/>
      <c r="BO57" s="239"/>
      <c r="BP57" s="239"/>
      <c r="BQ57" s="239"/>
      <c r="BR57" s="239"/>
      <c r="BS57" s="239"/>
      <c r="BT57" s="239"/>
      <c r="BU57" s="239"/>
      <c r="BV57" s="239"/>
      <c r="BW57" s="239"/>
      <c r="BX57" s="239"/>
      <c r="BY57" s="239"/>
      <c r="BZ57" s="239"/>
      <c r="CA57" s="239"/>
      <c r="CB57" s="239"/>
      <c r="CC57" s="239"/>
      <c r="CD57" s="239"/>
      <c r="CE57" s="239"/>
      <c r="CF57" s="239"/>
      <c r="CG57" s="239"/>
      <c r="CH57" s="239"/>
      <c r="CI57" s="239"/>
      <c r="CJ57" s="239"/>
      <c r="CK57" s="239"/>
      <c r="CL57" s="239"/>
      <c r="CM57" s="239"/>
      <c r="CN57" s="239"/>
      <c r="CO57" s="239"/>
      <c r="CP57" s="239"/>
      <c r="CQ57" s="239"/>
      <c r="CR57" s="239"/>
      <c r="CS57" s="239"/>
      <c r="CT57" s="239"/>
      <c r="CU57" s="239"/>
      <c r="CV57" s="239"/>
      <c r="CW57" s="239"/>
      <c r="CX57" s="239"/>
      <c r="CY57" s="239"/>
      <c r="CZ57" s="239"/>
      <c r="DA57" s="239"/>
      <c r="DB57" s="239"/>
      <c r="DC57" s="239"/>
      <c r="DD57" s="239"/>
      <c r="DE57" s="239"/>
      <c r="DF57" s="239"/>
      <c r="DG57" s="239"/>
      <c r="DH57" s="239"/>
      <c r="DI57" s="239"/>
      <c r="DJ57" s="239"/>
      <c r="DK57" s="239"/>
      <c r="DL57" s="239"/>
      <c r="DM57" s="239"/>
      <c r="DN57" s="239"/>
      <c r="DO57" s="239"/>
      <c r="DP57" s="239"/>
      <c r="DQ57" s="239"/>
      <c r="DR57" s="239"/>
      <c r="DS57" s="239"/>
      <c r="DT57" s="239"/>
      <c r="DU57" s="239"/>
      <c r="DV57" s="239"/>
      <c r="DW57" s="239"/>
      <c r="DX57" s="239"/>
      <c r="DY57" s="239"/>
      <c r="DZ57" s="239"/>
      <c r="EA57" s="239"/>
      <c r="EB57" s="239"/>
      <c r="EC57" s="239"/>
      <c r="ED57" s="239"/>
      <c r="EE57" s="239"/>
      <c r="EF57" s="239"/>
      <c r="EG57" s="239"/>
      <c r="EH57" s="239"/>
      <c r="EI57" s="239"/>
      <c r="EJ57" s="239"/>
      <c r="EK57" s="239"/>
      <c r="EL57" s="239"/>
      <c r="EM57" s="239"/>
      <c r="EN57" s="239"/>
      <c r="EO57" s="239"/>
      <c r="EP57" s="239"/>
      <c r="EQ57" s="239"/>
      <c r="ER57" s="239"/>
      <c r="ES57" s="239"/>
      <c r="ET57" s="239"/>
      <c r="EU57" s="239"/>
      <c r="EV57" s="239"/>
      <c r="EW57" s="239"/>
      <c r="EX57" s="239"/>
      <c r="EY57" s="239"/>
      <c r="EZ57" s="239"/>
      <c r="FA57" s="239"/>
      <c r="FB57" s="239"/>
      <c r="FC57" s="239"/>
      <c r="FD57" s="239"/>
      <c r="FE57" s="239"/>
      <c r="FF57" s="239"/>
      <c r="FG57" s="239"/>
      <c r="FH57" s="239"/>
      <c r="FI57" s="239"/>
      <c r="FJ57" s="239"/>
      <c r="FK57" s="239"/>
      <c r="FL57" s="239"/>
      <c r="FM57" s="239"/>
      <c r="FN57" s="239"/>
      <c r="FO57" s="239"/>
      <c r="FP57" s="239"/>
      <c r="FQ57" s="239"/>
      <c r="FR57" s="239"/>
      <c r="FS57" s="239"/>
      <c r="FT57" s="239"/>
      <c r="FU57" s="239"/>
      <c r="FV57" s="239"/>
      <c r="FW57" s="239"/>
    </row>
    <row r="58" spans="1:179" s="236" customFormat="1" ht="18">
      <c r="A58" s="260">
        <v>1</v>
      </c>
      <c r="B58" s="271">
        <v>5</v>
      </c>
      <c r="C58" s="271">
        <v>10</v>
      </c>
      <c r="D58" s="271">
        <v>14</v>
      </c>
      <c r="E58" s="271">
        <v>29.5</v>
      </c>
      <c r="F58" s="271">
        <v>35</v>
      </c>
      <c r="G58" s="271">
        <v>46</v>
      </c>
      <c r="H58" s="271">
        <v>60</v>
      </c>
      <c r="I58" s="271">
        <v>75</v>
      </c>
      <c r="J58" s="271">
        <v>99</v>
      </c>
      <c r="K58" s="271">
        <v>125</v>
      </c>
      <c r="L58" s="271">
        <v>160</v>
      </c>
      <c r="M58" s="271">
        <v>201</v>
      </c>
      <c r="N58" s="271">
        <v>251</v>
      </c>
      <c r="O58" s="271">
        <v>320</v>
      </c>
      <c r="P58" s="271">
        <v>420</v>
      </c>
      <c r="Q58" s="271">
        <v>515</v>
      </c>
      <c r="R58" s="271">
        <v>900</v>
      </c>
      <c r="S58" s="271">
        <v>1450</v>
      </c>
      <c r="T58" s="260"/>
      <c r="V58" s="266">
        <v>1</v>
      </c>
      <c r="W58" s="268">
        <v>22.5</v>
      </c>
      <c r="X58" s="268">
        <v>40</v>
      </c>
      <c r="Y58" s="268">
        <v>55</v>
      </c>
      <c r="Z58" s="268">
        <v>88</v>
      </c>
      <c r="AA58" s="268">
        <v>107</v>
      </c>
      <c r="AB58" s="268">
        <v>130</v>
      </c>
      <c r="AC58" s="268">
        <v>180</v>
      </c>
      <c r="AD58" s="268">
        <v>220</v>
      </c>
      <c r="AE58" s="268">
        <v>290</v>
      </c>
      <c r="AF58" s="268">
        <v>370</v>
      </c>
      <c r="AG58" s="268">
        <v>470</v>
      </c>
      <c r="AH58" s="268">
        <v>600</v>
      </c>
      <c r="AI58" s="268">
        <v>750</v>
      </c>
      <c r="AJ58" s="268">
        <v>910</v>
      </c>
      <c r="AK58" s="268">
        <v>1100</v>
      </c>
      <c r="AL58" s="253"/>
      <c r="AN58" s="239"/>
      <c r="AO58" s="239"/>
      <c r="AP58" s="239"/>
      <c r="AQ58" s="239"/>
      <c r="AR58" s="239"/>
      <c r="AS58" s="239"/>
      <c r="AT58" s="239"/>
      <c r="AU58" s="239"/>
      <c r="AV58" s="239"/>
      <c r="AW58" s="239"/>
      <c r="AX58" s="239"/>
      <c r="AY58" s="239"/>
      <c r="AZ58" s="239"/>
      <c r="BA58" s="239"/>
      <c r="BB58" s="239"/>
      <c r="BC58" s="239"/>
      <c r="BD58" s="239"/>
      <c r="BE58" s="239"/>
      <c r="BF58" s="239"/>
      <c r="BG58" s="239"/>
      <c r="BH58" s="239"/>
      <c r="BI58" s="239"/>
      <c r="BJ58" s="239"/>
      <c r="BK58" s="239"/>
      <c r="BL58" s="239"/>
      <c r="BM58" s="239"/>
      <c r="BN58" s="239"/>
      <c r="BO58" s="239"/>
      <c r="BP58" s="239"/>
      <c r="BQ58" s="239"/>
      <c r="BR58" s="239"/>
      <c r="BS58" s="239"/>
      <c r="BT58" s="239"/>
      <c r="BU58" s="239"/>
      <c r="BV58" s="239"/>
      <c r="BW58" s="239"/>
      <c r="BX58" s="239"/>
      <c r="BY58" s="239"/>
      <c r="BZ58" s="239"/>
      <c r="CA58" s="239"/>
      <c r="CB58" s="239"/>
      <c r="CC58" s="239"/>
      <c r="CD58" s="239"/>
      <c r="CE58" s="239"/>
      <c r="CF58" s="239"/>
      <c r="CG58" s="239"/>
      <c r="CH58" s="239"/>
      <c r="CI58" s="239"/>
      <c r="CJ58" s="239"/>
      <c r="CK58" s="239"/>
      <c r="CL58" s="239"/>
      <c r="CM58" s="239"/>
      <c r="CN58" s="239"/>
      <c r="CO58" s="239"/>
      <c r="CP58" s="239"/>
      <c r="CQ58" s="239"/>
      <c r="CR58" s="239"/>
      <c r="CS58" s="239"/>
      <c r="CT58" s="239"/>
      <c r="CU58" s="239"/>
      <c r="CV58" s="239"/>
      <c r="CW58" s="239"/>
      <c r="CX58" s="239"/>
      <c r="CY58" s="239"/>
      <c r="CZ58" s="239"/>
      <c r="DA58" s="239"/>
      <c r="DB58" s="239"/>
      <c r="DC58" s="239"/>
      <c r="DD58" s="239"/>
      <c r="DE58" s="239"/>
      <c r="DF58" s="239"/>
      <c r="DG58" s="239"/>
      <c r="DH58" s="239"/>
      <c r="DI58" s="239"/>
      <c r="DJ58" s="239"/>
      <c r="DK58" s="239"/>
      <c r="DL58" s="239"/>
      <c r="DM58" s="239"/>
      <c r="DN58" s="239"/>
      <c r="DO58" s="239"/>
      <c r="DP58" s="239"/>
      <c r="DQ58" s="239"/>
      <c r="DR58" s="239"/>
      <c r="DS58" s="239"/>
      <c r="DT58" s="239"/>
      <c r="DU58" s="239"/>
      <c r="DV58" s="239"/>
      <c r="DW58" s="239"/>
      <c r="DX58" s="239"/>
      <c r="DY58" s="239"/>
      <c r="DZ58" s="239"/>
      <c r="EA58" s="239"/>
      <c r="EB58" s="239"/>
      <c r="EC58" s="239"/>
      <c r="ED58" s="239"/>
      <c r="EE58" s="239"/>
      <c r="EF58" s="239"/>
      <c r="EG58" s="239"/>
      <c r="EH58" s="239"/>
      <c r="EI58" s="239"/>
      <c r="EJ58" s="239"/>
      <c r="EK58" s="239"/>
      <c r="EL58" s="239"/>
      <c r="EM58" s="239"/>
      <c r="EN58" s="239"/>
      <c r="EO58" s="239"/>
      <c r="EP58" s="239"/>
      <c r="EQ58" s="239"/>
      <c r="ER58" s="239"/>
      <c r="ES58" s="239"/>
      <c r="ET58" s="239"/>
      <c r="EU58" s="239"/>
      <c r="EV58" s="239"/>
      <c r="EW58" s="239"/>
      <c r="EX58" s="239"/>
      <c r="EY58" s="239"/>
      <c r="EZ58" s="239"/>
      <c r="FA58" s="239"/>
      <c r="FB58" s="239"/>
      <c r="FC58" s="239"/>
      <c r="FD58" s="239"/>
      <c r="FE58" s="239"/>
      <c r="FF58" s="239"/>
      <c r="FG58" s="239"/>
      <c r="FH58" s="239"/>
      <c r="FI58" s="239"/>
      <c r="FJ58" s="239"/>
      <c r="FK58" s="239"/>
      <c r="FL58" s="239"/>
      <c r="FM58" s="239"/>
      <c r="FN58" s="239"/>
      <c r="FO58" s="239"/>
      <c r="FP58" s="239"/>
      <c r="FQ58" s="239"/>
      <c r="FR58" s="239"/>
      <c r="FS58" s="239"/>
      <c r="FT58" s="239"/>
      <c r="FU58" s="239"/>
      <c r="FV58" s="239"/>
      <c r="FW58" s="239"/>
    </row>
    <row r="59" spans="1:179" s="236" customFormat="1" ht="18">
      <c r="A59" s="260">
        <v>0.5</v>
      </c>
      <c r="B59" s="271">
        <v>7</v>
      </c>
      <c r="C59" s="271">
        <v>14</v>
      </c>
      <c r="D59" s="271">
        <v>20</v>
      </c>
      <c r="E59" s="271">
        <v>36</v>
      </c>
      <c r="F59" s="271">
        <v>49.8</v>
      </c>
      <c r="G59" s="271">
        <v>62</v>
      </c>
      <c r="H59" s="271">
        <v>82</v>
      </c>
      <c r="I59" s="271">
        <v>100.05</v>
      </c>
      <c r="J59" s="271">
        <v>135</v>
      </c>
      <c r="K59" s="271">
        <v>170.5</v>
      </c>
      <c r="L59" s="271">
        <v>215</v>
      </c>
      <c r="M59" s="271">
        <v>275</v>
      </c>
      <c r="N59" s="271">
        <v>350</v>
      </c>
      <c r="O59" s="271">
        <v>450</v>
      </c>
      <c r="P59" s="271">
        <v>590</v>
      </c>
      <c r="Q59" s="271">
        <v>700</v>
      </c>
      <c r="R59" s="271">
        <v>1210</v>
      </c>
      <c r="S59" s="271">
        <v>1900</v>
      </c>
      <c r="T59" s="260"/>
      <c r="V59" s="266">
        <v>0.5</v>
      </c>
      <c r="W59" s="268">
        <v>30.5</v>
      </c>
      <c r="X59" s="268">
        <v>56</v>
      </c>
      <c r="Y59" s="268">
        <v>74</v>
      </c>
      <c r="Z59" s="268">
        <v>122</v>
      </c>
      <c r="AA59" s="268">
        <v>150</v>
      </c>
      <c r="AB59" s="268">
        <v>180</v>
      </c>
      <c r="AC59" s="268">
        <v>250</v>
      </c>
      <c r="AD59" s="268">
        <v>305</v>
      </c>
      <c r="AE59" s="268">
        <v>400</v>
      </c>
      <c r="AF59" s="268">
        <v>510</v>
      </c>
      <c r="AG59" s="268">
        <v>650</v>
      </c>
      <c r="AH59" s="268">
        <v>820</v>
      </c>
      <c r="AI59" s="268">
        <v>1040</v>
      </c>
      <c r="AJ59" s="268">
        <v>1280</v>
      </c>
      <c r="AK59" s="268">
        <v>1580</v>
      </c>
      <c r="AL59" s="253"/>
      <c r="AN59" s="239"/>
      <c r="AO59" s="239"/>
      <c r="AP59" s="239"/>
      <c r="AQ59" s="239"/>
      <c r="AR59" s="239"/>
      <c r="AS59" s="239"/>
      <c r="AT59" s="239"/>
      <c r="AU59" s="239"/>
      <c r="AV59" s="239"/>
      <c r="AW59" s="239"/>
      <c r="AX59" s="239"/>
      <c r="AY59" s="239"/>
      <c r="AZ59" s="239"/>
      <c r="BA59" s="239"/>
      <c r="BB59" s="239"/>
      <c r="BC59" s="239"/>
      <c r="BD59" s="239"/>
      <c r="BE59" s="239"/>
      <c r="BF59" s="239"/>
      <c r="BG59" s="239"/>
      <c r="BH59" s="239"/>
      <c r="BI59" s="239"/>
      <c r="BJ59" s="239"/>
      <c r="BK59" s="239"/>
      <c r="BL59" s="239"/>
      <c r="BM59" s="239"/>
      <c r="BN59" s="239"/>
      <c r="BO59" s="239"/>
      <c r="BP59" s="239"/>
      <c r="BQ59" s="239"/>
      <c r="BR59" s="239"/>
      <c r="BS59" s="239"/>
      <c r="BT59" s="239"/>
      <c r="BU59" s="239"/>
      <c r="BV59" s="239"/>
      <c r="BW59" s="239"/>
      <c r="BX59" s="239"/>
      <c r="BY59" s="239"/>
      <c r="BZ59" s="239"/>
      <c r="CA59" s="239"/>
      <c r="CB59" s="239"/>
      <c r="CC59" s="239"/>
      <c r="CD59" s="239"/>
      <c r="CE59" s="239"/>
      <c r="CF59" s="239"/>
      <c r="CG59" s="239"/>
      <c r="CH59" s="239"/>
      <c r="CI59" s="239"/>
      <c r="CJ59" s="239"/>
      <c r="CK59" s="239"/>
      <c r="CL59" s="239"/>
      <c r="CM59" s="239"/>
      <c r="CN59" s="239"/>
      <c r="CO59" s="239"/>
      <c r="CP59" s="239"/>
      <c r="CQ59" s="239"/>
      <c r="CR59" s="239"/>
      <c r="CS59" s="239"/>
      <c r="CT59" s="239"/>
      <c r="CU59" s="239"/>
      <c r="CV59" s="239"/>
      <c r="CW59" s="239"/>
      <c r="CX59" s="239"/>
      <c r="CY59" s="239"/>
      <c r="CZ59" s="239"/>
      <c r="DA59" s="239"/>
      <c r="DB59" s="239"/>
      <c r="DC59" s="239"/>
      <c r="DD59" s="239"/>
      <c r="DE59" s="239"/>
      <c r="DF59" s="239"/>
      <c r="DG59" s="239"/>
      <c r="DH59" s="239"/>
      <c r="DI59" s="239"/>
      <c r="DJ59" s="239"/>
      <c r="DK59" s="239"/>
      <c r="DL59" s="239"/>
      <c r="DM59" s="239"/>
      <c r="DN59" s="239"/>
      <c r="DO59" s="239"/>
      <c r="DP59" s="239"/>
      <c r="DQ59" s="239"/>
      <c r="DR59" s="239"/>
      <c r="DS59" s="239"/>
      <c r="DT59" s="239"/>
      <c r="DU59" s="239"/>
      <c r="DV59" s="239"/>
      <c r="DW59" s="239"/>
      <c r="DX59" s="239"/>
      <c r="DY59" s="239"/>
      <c r="DZ59" s="239"/>
      <c r="EA59" s="239"/>
      <c r="EB59" s="239"/>
      <c r="EC59" s="239"/>
      <c r="ED59" s="239"/>
      <c r="EE59" s="239"/>
      <c r="EF59" s="239"/>
      <c r="EG59" s="239"/>
      <c r="EH59" s="239"/>
      <c r="EI59" s="239"/>
      <c r="EJ59" s="239"/>
      <c r="EK59" s="239"/>
      <c r="EL59" s="239"/>
      <c r="EM59" s="239"/>
      <c r="EN59" s="239"/>
      <c r="EO59" s="239"/>
      <c r="EP59" s="239"/>
      <c r="EQ59" s="239"/>
      <c r="ER59" s="239"/>
      <c r="ES59" s="239"/>
      <c r="ET59" s="239"/>
      <c r="EU59" s="239"/>
      <c r="EV59" s="239"/>
      <c r="EW59" s="239"/>
      <c r="EX59" s="239"/>
      <c r="EY59" s="239"/>
      <c r="EZ59" s="239"/>
      <c r="FA59" s="239"/>
      <c r="FB59" s="239"/>
      <c r="FC59" s="239"/>
      <c r="FD59" s="239"/>
      <c r="FE59" s="239"/>
      <c r="FF59" s="239"/>
      <c r="FG59" s="239"/>
      <c r="FH59" s="239"/>
      <c r="FI59" s="239"/>
      <c r="FJ59" s="239"/>
      <c r="FK59" s="239"/>
      <c r="FL59" s="239"/>
      <c r="FM59" s="239"/>
      <c r="FN59" s="239"/>
      <c r="FO59" s="239"/>
      <c r="FP59" s="239"/>
      <c r="FQ59" s="239"/>
      <c r="FR59" s="239"/>
      <c r="FS59" s="239"/>
      <c r="FT59" s="239"/>
      <c r="FU59" s="239"/>
      <c r="FV59" s="239"/>
      <c r="FW59" s="239"/>
    </row>
    <row r="60" spans="1:179" s="236" customFormat="1" ht="18">
      <c r="A60" s="260">
        <v>0.1</v>
      </c>
      <c r="B60" s="236">
        <v>17.600000000000001</v>
      </c>
      <c r="C60" s="236">
        <v>35</v>
      </c>
      <c r="D60" s="236">
        <v>45</v>
      </c>
      <c r="E60" s="236">
        <v>78</v>
      </c>
      <c r="F60" s="236">
        <v>100</v>
      </c>
      <c r="G60" s="236">
        <v>140</v>
      </c>
      <c r="H60" s="236">
        <v>170</v>
      </c>
      <c r="I60" s="236">
        <v>230</v>
      </c>
      <c r="J60" s="236">
        <v>280</v>
      </c>
      <c r="K60" s="236">
        <v>360</v>
      </c>
      <c r="L60" s="236">
        <v>450</v>
      </c>
      <c r="M60" s="236">
        <v>575</v>
      </c>
      <c r="N60" s="236">
        <v>730</v>
      </c>
      <c r="O60" s="236">
        <v>940</v>
      </c>
      <c r="P60" s="236">
        <v>1200</v>
      </c>
      <c r="Q60" s="236">
        <v>1500</v>
      </c>
      <c r="R60" s="236">
        <v>2550</v>
      </c>
      <c r="S60" s="236">
        <v>3900</v>
      </c>
      <c r="T60" s="260"/>
      <c r="V60" s="266">
        <v>0.1</v>
      </c>
      <c r="W60" s="268">
        <v>70</v>
      </c>
      <c r="X60" s="268">
        <v>125</v>
      </c>
      <c r="Y60" s="268">
        <v>170</v>
      </c>
      <c r="Z60" s="268">
        <v>270</v>
      </c>
      <c r="AA60" s="268">
        <v>340</v>
      </c>
      <c r="AB60" s="268">
        <v>410</v>
      </c>
      <c r="AC60" s="268">
        <v>545</v>
      </c>
      <c r="AD60" s="268">
        <v>680</v>
      </c>
      <c r="AE60" s="268">
        <v>900</v>
      </c>
      <c r="AF60" s="268">
        <v>1100</v>
      </c>
      <c r="AG60" s="268">
        <v>1400</v>
      </c>
      <c r="AH60" s="268">
        <v>1800</v>
      </c>
      <c r="AI60" s="268">
        <v>2300</v>
      </c>
      <c r="AJ60" s="268">
        <v>2800</v>
      </c>
      <c r="AK60" s="268">
        <v>3600</v>
      </c>
      <c r="AL60" s="253"/>
      <c r="AN60" s="239"/>
      <c r="AO60" s="239"/>
      <c r="AP60" s="239"/>
      <c r="AQ60" s="239"/>
      <c r="AR60" s="239"/>
      <c r="AS60" s="239"/>
      <c r="AT60" s="239"/>
      <c r="AU60" s="239"/>
      <c r="AV60" s="239"/>
      <c r="AW60" s="239"/>
      <c r="AX60" s="239"/>
      <c r="AY60" s="239"/>
      <c r="AZ60" s="239"/>
      <c r="BA60" s="239"/>
      <c r="BB60" s="239"/>
      <c r="BC60" s="239"/>
      <c r="BD60" s="239"/>
      <c r="BE60" s="239"/>
      <c r="BF60" s="239"/>
      <c r="BG60" s="239"/>
      <c r="BH60" s="239"/>
      <c r="BI60" s="239"/>
      <c r="BJ60" s="239"/>
      <c r="BK60" s="239"/>
      <c r="BL60" s="239"/>
      <c r="BM60" s="239"/>
      <c r="BN60" s="239"/>
      <c r="BO60" s="239"/>
      <c r="BP60" s="239"/>
      <c r="BQ60" s="239"/>
      <c r="BR60" s="239"/>
      <c r="BS60" s="239"/>
      <c r="BT60" s="239"/>
      <c r="BU60" s="239"/>
      <c r="BV60" s="239"/>
      <c r="BW60" s="239"/>
      <c r="BX60" s="239"/>
      <c r="BY60" s="239"/>
      <c r="BZ60" s="239"/>
      <c r="CA60" s="239"/>
      <c r="CB60" s="239"/>
      <c r="CC60" s="239"/>
      <c r="CD60" s="239"/>
      <c r="CE60" s="239"/>
      <c r="CF60" s="239"/>
      <c r="CG60" s="239"/>
      <c r="CH60" s="239"/>
      <c r="CI60" s="239"/>
      <c r="CJ60" s="239"/>
      <c r="CK60" s="239"/>
      <c r="CL60" s="239"/>
      <c r="CM60" s="239"/>
      <c r="CN60" s="239"/>
      <c r="CO60" s="239"/>
      <c r="CP60" s="239"/>
      <c r="CQ60" s="239"/>
      <c r="CR60" s="239"/>
      <c r="CS60" s="239"/>
      <c r="CT60" s="239"/>
      <c r="CU60" s="239"/>
      <c r="CV60" s="239"/>
      <c r="CW60" s="239"/>
      <c r="CX60" s="239"/>
      <c r="CY60" s="239"/>
      <c r="CZ60" s="239"/>
      <c r="DA60" s="239"/>
      <c r="DB60" s="239"/>
      <c r="DC60" s="239"/>
      <c r="DD60" s="239"/>
      <c r="DE60" s="239"/>
      <c r="DF60" s="239"/>
      <c r="DG60" s="239"/>
      <c r="DH60" s="239"/>
      <c r="DI60" s="239"/>
      <c r="DJ60" s="239"/>
      <c r="DK60" s="239"/>
      <c r="DL60" s="239"/>
      <c r="DM60" s="239"/>
      <c r="DN60" s="239"/>
      <c r="DO60" s="239"/>
      <c r="DP60" s="239"/>
      <c r="DQ60" s="239"/>
      <c r="DR60" s="239"/>
      <c r="DS60" s="239"/>
      <c r="DT60" s="239"/>
      <c r="DU60" s="239"/>
      <c r="DV60" s="239"/>
      <c r="DW60" s="239"/>
      <c r="DX60" s="239"/>
      <c r="DY60" s="239"/>
      <c r="DZ60" s="239"/>
      <c r="EA60" s="239"/>
      <c r="EB60" s="239"/>
      <c r="EC60" s="239"/>
      <c r="ED60" s="239"/>
      <c r="EE60" s="239"/>
      <c r="EF60" s="239"/>
      <c r="EG60" s="239"/>
      <c r="EH60" s="239"/>
      <c r="EI60" s="239"/>
      <c r="EJ60" s="239"/>
      <c r="EK60" s="239"/>
      <c r="EL60" s="239"/>
      <c r="EM60" s="239"/>
      <c r="EN60" s="239"/>
      <c r="EO60" s="239"/>
      <c r="EP60" s="239"/>
      <c r="EQ60" s="239"/>
      <c r="ER60" s="239"/>
      <c r="ES60" s="239"/>
      <c r="ET60" s="239"/>
      <c r="EU60" s="239"/>
      <c r="EV60" s="239"/>
      <c r="EW60" s="239"/>
      <c r="EX60" s="239"/>
      <c r="EY60" s="239"/>
      <c r="EZ60" s="239"/>
      <c r="FA60" s="239"/>
      <c r="FB60" s="239"/>
      <c r="FC60" s="239"/>
      <c r="FD60" s="239"/>
      <c r="FE60" s="239"/>
      <c r="FF60" s="239"/>
      <c r="FG60" s="239"/>
      <c r="FH60" s="239"/>
      <c r="FI60" s="239"/>
      <c r="FJ60" s="239"/>
      <c r="FK60" s="239"/>
      <c r="FL60" s="239"/>
      <c r="FM60" s="239"/>
      <c r="FN60" s="239"/>
      <c r="FO60" s="239"/>
      <c r="FP60" s="239"/>
      <c r="FQ60" s="239"/>
      <c r="FR60" s="239"/>
      <c r="FS60" s="239"/>
      <c r="FT60" s="239"/>
      <c r="FU60" s="239"/>
      <c r="FV60" s="239"/>
      <c r="FW60" s="239"/>
    </row>
    <row r="61" spans="1:179" s="236" customFormat="1" ht="18">
      <c r="A61" s="260">
        <v>0.09</v>
      </c>
      <c r="B61" s="236">
        <v>18</v>
      </c>
      <c r="C61" s="236">
        <v>37</v>
      </c>
      <c r="D61" s="236">
        <v>50</v>
      </c>
      <c r="E61" s="236">
        <v>79</v>
      </c>
      <c r="F61" s="236">
        <v>110</v>
      </c>
      <c r="G61" s="236">
        <v>145</v>
      </c>
      <c r="H61" s="236">
        <v>180</v>
      </c>
      <c r="I61" s="236">
        <v>245</v>
      </c>
      <c r="J61" s="236">
        <v>290</v>
      </c>
      <c r="K61" s="236">
        <v>375</v>
      </c>
      <c r="L61" s="236">
        <v>470</v>
      </c>
      <c r="M61" s="236">
        <v>600</v>
      </c>
      <c r="N61" s="236">
        <v>770</v>
      </c>
      <c r="O61" s="236">
        <v>980</v>
      </c>
      <c r="P61" s="236">
        <v>1250</v>
      </c>
      <c r="Q61" s="236">
        <v>1600</v>
      </c>
      <c r="R61" s="236">
        <v>2700</v>
      </c>
      <c r="S61" s="236">
        <v>4100</v>
      </c>
      <c r="T61" s="260"/>
      <c r="V61" s="266">
        <v>0.08</v>
      </c>
      <c r="W61" s="268">
        <v>77</v>
      </c>
      <c r="X61" s="268">
        <v>140</v>
      </c>
      <c r="Y61" s="268">
        <v>190</v>
      </c>
      <c r="Z61" s="268">
        <v>300</v>
      </c>
      <c r="AA61" s="268">
        <v>380</v>
      </c>
      <c r="AB61" s="268">
        <v>450</v>
      </c>
      <c r="AC61" s="268">
        <v>620</v>
      </c>
      <c r="AD61" s="268">
        <v>760</v>
      </c>
      <c r="AE61" s="268">
        <v>1000</v>
      </c>
      <c r="AF61" s="268">
        <v>1200</v>
      </c>
      <c r="AG61" s="268">
        <v>1550</v>
      </c>
      <c r="AH61" s="268">
        <v>2000</v>
      </c>
      <c r="AI61" s="268">
        <v>2550</v>
      </c>
      <c r="AJ61" s="268">
        <v>3100</v>
      </c>
      <c r="AK61" s="268">
        <v>4000</v>
      </c>
      <c r="AL61" s="253"/>
      <c r="AN61" s="239"/>
      <c r="AO61" s="239"/>
      <c r="AP61" s="239"/>
      <c r="AQ61" s="239"/>
      <c r="AR61" s="239"/>
      <c r="AS61" s="239"/>
      <c r="AT61" s="239"/>
      <c r="AU61" s="239"/>
      <c r="AV61" s="239"/>
      <c r="AW61" s="239"/>
      <c r="AX61" s="239"/>
      <c r="AY61" s="239"/>
      <c r="AZ61" s="239"/>
      <c r="BA61" s="239"/>
      <c r="BB61" s="239"/>
      <c r="BC61" s="239"/>
      <c r="BD61" s="239"/>
      <c r="BE61" s="239"/>
      <c r="BF61" s="239"/>
      <c r="BG61" s="239"/>
      <c r="BH61" s="239"/>
      <c r="BI61" s="239"/>
      <c r="BJ61" s="239"/>
      <c r="BK61" s="239"/>
      <c r="BL61" s="239"/>
      <c r="BM61" s="239"/>
      <c r="BN61" s="239"/>
      <c r="BO61" s="239"/>
      <c r="BP61" s="239"/>
      <c r="BQ61" s="239"/>
      <c r="BR61" s="239"/>
      <c r="BS61" s="239"/>
      <c r="BT61" s="239"/>
      <c r="BU61" s="239"/>
      <c r="BV61" s="239"/>
      <c r="BW61" s="239"/>
      <c r="BX61" s="239"/>
      <c r="BY61" s="239"/>
      <c r="BZ61" s="239"/>
      <c r="CA61" s="239"/>
      <c r="CB61" s="239"/>
      <c r="CC61" s="239"/>
      <c r="CD61" s="239"/>
      <c r="CE61" s="239"/>
      <c r="CF61" s="239"/>
      <c r="CG61" s="239"/>
      <c r="CH61" s="239"/>
      <c r="CI61" s="239"/>
      <c r="CJ61" s="239"/>
      <c r="CK61" s="239"/>
      <c r="CL61" s="239"/>
      <c r="CM61" s="239"/>
      <c r="CN61" s="239"/>
      <c r="CO61" s="239"/>
      <c r="CP61" s="239"/>
      <c r="CQ61" s="239"/>
      <c r="CR61" s="239"/>
      <c r="CS61" s="239"/>
      <c r="CT61" s="239"/>
      <c r="CU61" s="239"/>
      <c r="CV61" s="239"/>
      <c r="CW61" s="239"/>
      <c r="CX61" s="239"/>
      <c r="CY61" s="239"/>
      <c r="CZ61" s="239"/>
      <c r="DA61" s="239"/>
      <c r="DB61" s="239"/>
      <c r="DC61" s="239"/>
      <c r="DD61" s="239"/>
      <c r="DE61" s="239"/>
      <c r="DF61" s="239"/>
      <c r="DG61" s="239"/>
      <c r="DH61" s="239"/>
      <c r="DI61" s="239"/>
      <c r="DJ61" s="239"/>
      <c r="DK61" s="239"/>
      <c r="DL61" s="239"/>
      <c r="DM61" s="239"/>
      <c r="DN61" s="239"/>
      <c r="DO61" s="239"/>
      <c r="DP61" s="239"/>
      <c r="DQ61" s="239"/>
      <c r="DR61" s="239"/>
      <c r="DS61" s="239"/>
      <c r="DT61" s="239"/>
      <c r="DU61" s="239"/>
      <c r="DV61" s="239"/>
      <c r="DW61" s="239"/>
      <c r="DX61" s="239"/>
      <c r="DY61" s="239"/>
      <c r="DZ61" s="239"/>
      <c r="EA61" s="239"/>
      <c r="EB61" s="239"/>
      <c r="EC61" s="239"/>
      <c r="ED61" s="239"/>
      <c r="EE61" s="239"/>
      <c r="EF61" s="239"/>
      <c r="EG61" s="239"/>
      <c r="EH61" s="239"/>
      <c r="EI61" s="239"/>
      <c r="EJ61" s="239"/>
      <c r="EK61" s="239"/>
      <c r="EL61" s="239"/>
      <c r="EM61" s="239"/>
      <c r="EN61" s="239"/>
      <c r="EO61" s="239"/>
      <c r="EP61" s="239"/>
      <c r="EQ61" s="239"/>
      <c r="ER61" s="239"/>
      <c r="ES61" s="239"/>
      <c r="ET61" s="239"/>
      <c r="EU61" s="239"/>
      <c r="EV61" s="239"/>
      <c r="EW61" s="239"/>
      <c r="EX61" s="239"/>
      <c r="EY61" s="239"/>
      <c r="EZ61" s="239"/>
      <c r="FA61" s="239"/>
      <c r="FB61" s="239"/>
      <c r="FC61" s="239"/>
      <c r="FD61" s="239"/>
      <c r="FE61" s="239"/>
      <c r="FF61" s="239"/>
      <c r="FG61" s="239"/>
      <c r="FH61" s="239"/>
      <c r="FI61" s="239"/>
      <c r="FJ61" s="239"/>
      <c r="FK61" s="239"/>
      <c r="FL61" s="239"/>
      <c r="FM61" s="239"/>
      <c r="FN61" s="239"/>
      <c r="FO61" s="239"/>
      <c r="FP61" s="239"/>
      <c r="FQ61" s="239"/>
      <c r="FR61" s="239"/>
      <c r="FS61" s="239"/>
      <c r="FT61" s="239"/>
      <c r="FU61" s="239"/>
      <c r="FV61" s="239"/>
      <c r="FW61" s="239"/>
    </row>
    <row r="62" spans="1:179" s="236" customFormat="1" ht="18">
      <c r="A62" s="260">
        <v>0.08</v>
      </c>
      <c r="B62" s="236">
        <v>19</v>
      </c>
      <c r="C62" s="236">
        <v>40</v>
      </c>
      <c r="D62" s="236">
        <v>54</v>
      </c>
      <c r="E62" s="236">
        <v>82</v>
      </c>
      <c r="F62" s="236">
        <v>115</v>
      </c>
      <c r="G62" s="236">
        <v>155</v>
      </c>
      <c r="H62" s="236">
        <v>190</v>
      </c>
      <c r="I62" s="236">
        <v>250</v>
      </c>
      <c r="J62" s="236">
        <v>310</v>
      </c>
      <c r="K62" s="236">
        <v>395</v>
      </c>
      <c r="L62" s="236">
        <v>500</v>
      </c>
      <c r="M62" s="236">
        <v>640</v>
      </c>
      <c r="N62" s="236">
        <v>800</v>
      </c>
      <c r="O62" s="236">
        <v>1030</v>
      </c>
      <c r="P62" s="236">
        <v>1310</v>
      </c>
      <c r="Q62" s="236">
        <v>1690</v>
      </c>
      <c r="R62" s="236">
        <v>2850</v>
      </c>
      <c r="S62" s="236">
        <v>4300</v>
      </c>
      <c r="T62" s="260"/>
      <c r="V62" s="266">
        <v>0.06</v>
      </c>
      <c r="W62" s="268">
        <v>89</v>
      </c>
      <c r="X62" s="268">
        <v>160</v>
      </c>
      <c r="Y62" s="268">
        <v>220</v>
      </c>
      <c r="Z62" s="268">
        <v>345</v>
      </c>
      <c r="AA62" s="268">
        <v>440</v>
      </c>
      <c r="AB62" s="268">
        <v>520</v>
      </c>
      <c r="AC62" s="268">
        <v>700</v>
      </c>
      <c r="AD62" s="268">
        <v>870</v>
      </c>
      <c r="AE62" s="268">
        <v>1170</v>
      </c>
      <c r="AF62" s="268">
        <v>1400</v>
      </c>
      <c r="AG62" s="268">
        <v>1800</v>
      </c>
      <c r="AH62" s="268">
        <v>2300</v>
      </c>
      <c r="AI62" s="268">
        <v>2850</v>
      </c>
      <c r="AJ62" s="268">
        <v>3550</v>
      </c>
      <c r="AK62" s="268">
        <v>4550</v>
      </c>
      <c r="AL62" s="253"/>
      <c r="AN62" s="239"/>
      <c r="AO62" s="239"/>
      <c r="AP62" s="239"/>
      <c r="AQ62" s="239"/>
      <c r="AR62" s="239"/>
      <c r="AS62" s="239"/>
      <c r="AT62" s="239"/>
      <c r="AU62" s="239"/>
      <c r="AV62" s="239"/>
      <c r="AW62" s="239"/>
      <c r="AX62" s="239"/>
      <c r="AY62" s="239"/>
      <c r="AZ62" s="239"/>
      <c r="BA62" s="239"/>
      <c r="BB62" s="239"/>
      <c r="BC62" s="239"/>
      <c r="BD62" s="239"/>
      <c r="BE62" s="239"/>
      <c r="BF62" s="239"/>
      <c r="BG62" s="239"/>
      <c r="BH62" s="239"/>
      <c r="BI62" s="239"/>
      <c r="BJ62" s="239"/>
      <c r="BK62" s="239"/>
      <c r="BL62" s="239"/>
      <c r="BM62" s="239"/>
      <c r="BN62" s="239"/>
      <c r="BO62" s="239"/>
      <c r="BP62" s="239"/>
      <c r="BQ62" s="239"/>
      <c r="BR62" s="239"/>
      <c r="BS62" s="239"/>
      <c r="BT62" s="239"/>
      <c r="BU62" s="239"/>
      <c r="BV62" s="239"/>
      <c r="BW62" s="239"/>
      <c r="BX62" s="239"/>
      <c r="BY62" s="239"/>
      <c r="BZ62" s="239"/>
      <c r="CA62" s="239"/>
      <c r="CB62" s="239"/>
      <c r="CC62" s="239"/>
      <c r="CD62" s="239"/>
      <c r="CE62" s="239"/>
      <c r="CF62" s="239"/>
      <c r="CG62" s="239"/>
      <c r="CH62" s="239"/>
      <c r="CI62" s="239"/>
      <c r="CJ62" s="239"/>
      <c r="CK62" s="239"/>
      <c r="CL62" s="239"/>
      <c r="CM62" s="239"/>
      <c r="CN62" s="239"/>
      <c r="CO62" s="239"/>
      <c r="CP62" s="239"/>
      <c r="CQ62" s="239"/>
      <c r="CR62" s="239"/>
      <c r="CS62" s="239"/>
      <c r="CT62" s="239"/>
      <c r="CU62" s="239"/>
      <c r="CV62" s="239"/>
      <c r="CW62" s="239"/>
      <c r="CX62" s="239"/>
      <c r="CY62" s="239"/>
      <c r="CZ62" s="239"/>
      <c r="DA62" s="239"/>
      <c r="DB62" s="239"/>
      <c r="DC62" s="239"/>
      <c r="DD62" s="239"/>
      <c r="DE62" s="239"/>
      <c r="DF62" s="239"/>
      <c r="DG62" s="239"/>
      <c r="DH62" s="239"/>
      <c r="DI62" s="239"/>
      <c r="DJ62" s="239"/>
      <c r="DK62" s="239"/>
      <c r="DL62" s="239"/>
      <c r="DM62" s="239"/>
      <c r="DN62" s="239"/>
      <c r="DO62" s="239"/>
      <c r="DP62" s="239"/>
      <c r="DQ62" s="239"/>
      <c r="DR62" s="239"/>
      <c r="DS62" s="239"/>
      <c r="DT62" s="239"/>
      <c r="DU62" s="239"/>
      <c r="DV62" s="239"/>
      <c r="DW62" s="239"/>
      <c r="DX62" s="239"/>
      <c r="DY62" s="239"/>
      <c r="DZ62" s="239"/>
      <c r="EA62" s="239"/>
      <c r="EB62" s="239"/>
      <c r="EC62" s="239"/>
      <c r="ED62" s="239"/>
      <c r="EE62" s="239"/>
      <c r="EF62" s="239"/>
      <c r="EG62" s="239"/>
      <c r="EH62" s="239"/>
      <c r="EI62" s="239"/>
      <c r="EJ62" s="239"/>
      <c r="EK62" s="239"/>
      <c r="EL62" s="239"/>
      <c r="EM62" s="239"/>
      <c r="EN62" s="239"/>
      <c r="EO62" s="239"/>
      <c r="EP62" s="239"/>
      <c r="EQ62" s="239"/>
      <c r="ER62" s="239"/>
      <c r="ES62" s="239"/>
      <c r="ET62" s="239"/>
      <c r="EU62" s="239"/>
      <c r="EV62" s="239"/>
      <c r="EW62" s="239"/>
      <c r="EX62" s="239"/>
      <c r="EY62" s="239"/>
      <c r="EZ62" s="239"/>
      <c r="FA62" s="239"/>
      <c r="FB62" s="239"/>
      <c r="FC62" s="239"/>
      <c r="FD62" s="239"/>
      <c r="FE62" s="239"/>
      <c r="FF62" s="239"/>
      <c r="FG62" s="239"/>
      <c r="FH62" s="239"/>
      <c r="FI62" s="239"/>
      <c r="FJ62" s="239"/>
      <c r="FK62" s="239"/>
      <c r="FL62" s="239"/>
      <c r="FM62" s="239"/>
      <c r="FN62" s="239"/>
      <c r="FO62" s="239"/>
      <c r="FP62" s="239"/>
      <c r="FQ62" s="239"/>
      <c r="FR62" s="239"/>
      <c r="FS62" s="239"/>
      <c r="FT62" s="239"/>
      <c r="FU62" s="239"/>
      <c r="FV62" s="239"/>
      <c r="FW62" s="239"/>
    </row>
    <row r="63" spans="1:179" s="236" customFormat="1" ht="18">
      <c r="A63" s="260">
        <v>7.0000000000000007E-2</v>
      </c>
      <c r="B63" s="236">
        <v>21</v>
      </c>
      <c r="C63" s="236">
        <v>42</v>
      </c>
      <c r="D63" s="236">
        <v>56</v>
      </c>
      <c r="E63" s="236">
        <v>89</v>
      </c>
      <c r="F63" s="236">
        <v>120</v>
      </c>
      <c r="G63" s="236">
        <v>160</v>
      </c>
      <c r="H63" s="236">
        <v>200</v>
      </c>
      <c r="I63" s="236">
        <v>265</v>
      </c>
      <c r="J63" s="236">
        <v>325</v>
      </c>
      <c r="K63" s="236">
        <v>420</v>
      </c>
      <c r="L63" s="236">
        <v>530</v>
      </c>
      <c r="M63" s="236">
        <v>680</v>
      </c>
      <c r="N63" s="236">
        <v>850</v>
      </c>
      <c r="O63" s="236">
        <v>1100</v>
      </c>
      <c r="P63" s="236">
        <v>1450</v>
      </c>
      <c r="Q63" s="236">
        <v>1780</v>
      </c>
      <c r="R63" s="236">
        <v>2900</v>
      </c>
      <c r="S63" s="236">
        <v>4600</v>
      </c>
      <c r="T63" s="260"/>
      <c r="V63" s="266">
        <v>0.04</v>
      </c>
      <c r="W63" s="268">
        <v>109</v>
      </c>
      <c r="X63" s="268">
        <v>200</v>
      </c>
      <c r="Y63" s="268">
        <v>270</v>
      </c>
      <c r="Z63" s="268">
        <v>420</v>
      </c>
      <c r="AA63" s="268">
        <v>530</v>
      </c>
      <c r="AB63" s="268">
        <v>640</v>
      </c>
      <c r="AC63" s="268">
        <v>850</v>
      </c>
      <c r="AD63" s="268">
        <v>1080</v>
      </c>
      <c r="AE63" s="268">
        <v>1400</v>
      </c>
      <c r="AF63" s="268">
        <v>1720</v>
      </c>
      <c r="AG63" s="268">
        <v>2200</v>
      </c>
      <c r="AH63" s="268">
        <v>2800</v>
      </c>
      <c r="AI63" s="268">
        <v>3500</v>
      </c>
      <c r="AJ63" s="268">
        <v>4400</v>
      </c>
      <c r="AK63" s="268">
        <v>5600</v>
      </c>
      <c r="AL63" s="253"/>
      <c r="AN63" s="239"/>
      <c r="AO63" s="239"/>
      <c r="AP63" s="239"/>
      <c r="AQ63" s="239"/>
      <c r="AR63" s="239"/>
      <c r="AS63" s="239"/>
      <c r="AT63" s="239"/>
      <c r="AU63" s="239"/>
      <c r="AV63" s="239"/>
      <c r="AW63" s="239"/>
      <c r="AX63" s="239"/>
      <c r="AY63" s="239"/>
      <c r="AZ63" s="239"/>
      <c r="BA63" s="239"/>
      <c r="BB63" s="239"/>
      <c r="BC63" s="239"/>
      <c r="BD63" s="239"/>
      <c r="BE63" s="239"/>
      <c r="BF63" s="239"/>
      <c r="BG63" s="239"/>
      <c r="BH63" s="239"/>
      <c r="BI63" s="239"/>
      <c r="BJ63" s="239"/>
      <c r="BK63" s="239"/>
      <c r="BL63" s="239"/>
      <c r="BM63" s="239"/>
      <c r="BN63" s="239"/>
      <c r="BO63" s="239"/>
      <c r="BP63" s="239"/>
      <c r="BQ63" s="239"/>
      <c r="BR63" s="239"/>
      <c r="BS63" s="239"/>
      <c r="BT63" s="239"/>
      <c r="BU63" s="239"/>
      <c r="BV63" s="239"/>
      <c r="BW63" s="239"/>
      <c r="BX63" s="239"/>
      <c r="BY63" s="239"/>
      <c r="BZ63" s="239"/>
      <c r="CA63" s="239"/>
      <c r="CB63" s="239"/>
      <c r="CC63" s="239"/>
      <c r="CD63" s="239"/>
      <c r="CE63" s="239"/>
      <c r="CF63" s="239"/>
      <c r="CG63" s="239"/>
      <c r="CH63" s="239"/>
      <c r="CI63" s="239"/>
      <c r="CJ63" s="239"/>
      <c r="CK63" s="239"/>
      <c r="CL63" s="239"/>
      <c r="CM63" s="239"/>
      <c r="CN63" s="239"/>
      <c r="CO63" s="239"/>
      <c r="CP63" s="239"/>
      <c r="CQ63" s="239"/>
      <c r="CR63" s="239"/>
      <c r="CS63" s="239"/>
      <c r="CT63" s="239"/>
      <c r="CU63" s="239"/>
      <c r="CV63" s="239"/>
      <c r="CW63" s="239"/>
      <c r="CX63" s="239"/>
      <c r="CY63" s="239"/>
      <c r="CZ63" s="239"/>
      <c r="DA63" s="239"/>
      <c r="DB63" s="239"/>
      <c r="DC63" s="239"/>
      <c r="DD63" s="239"/>
      <c r="DE63" s="239"/>
      <c r="DF63" s="239"/>
      <c r="DG63" s="239"/>
      <c r="DH63" s="239"/>
      <c r="DI63" s="239"/>
      <c r="DJ63" s="239"/>
      <c r="DK63" s="239"/>
      <c r="DL63" s="239"/>
      <c r="DM63" s="239"/>
      <c r="DN63" s="239"/>
      <c r="DO63" s="239"/>
      <c r="DP63" s="239"/>
      <c r="DQ63" s="239"/>
      <c r="DR63" s="239"/>
      <c r="DS63" s="239"/>
      <c r="DT63" s="239"/>
      <c r="DU63" s="239"/>
      <c r="DV63" s="239"/>
      <c r="DW63" s="239"/>
      <c r="DX63" s="239"/>
      <c r="DY63" s="239"/>
      <c r="DZ63" s="239"/>
      <c r="EA63" s="239"/>
      <c r="EB63" s="239"/>
      <c r="EC63" s="239"/>
      <c r="ED63" s="239"/>
      <c r="EE63" s="239"/>
      <c r="EF63" s="239"/>
      <c r="EG63" s="239"/>
      <c r="EH63" s="239"/>
      <c r="EI63" s="239"/>
      <c r="EJ63" s="239"/>
      <c r="EK63" s="239"/>
      <c r="EL63" s="239"/>
      <c r="EM63" s="239"/>
      <c r="EN63" s="239"/>
      <c r="EO63" s="239"/>
      <c r="EP63" s="239"/>
      <c r="EQ63" s="239"/>
      <c r="ER63" s="239"/>
      <c r="ES63" s="239"/>
      <c r="ET63" s="239"/>
      <c r="EU63" s="239"/>
      <c r="EV63" s="239"/>
      <c r="EW63" s="239"/>
      <c r="EX63" s="239"/>
      <c r="EY63" s="239"/>
      <c r="EZ63" s="239"/>
      <c r="FA63" s="239"/>
      <c r="FB63" s="239"/>
      <c r="FC63" s="239"/>
      <c r="FD63" s="239"/>
      <c r="FE63" s="239"/>
      <c r="FF63" s="239"/>
      <c r="FG63" s="239"/>
      <c r="FH63" s="239"/>
      <c r="FI63" s="239"/>
      <c r="FJ63" s="239"/>
      <c r="FK63" s="239"/>
      <c r="FL63" s="239"/>
      <c r="FM63" s="239"/>
      <c r="FN63" s="239"/>
      <c r="FO63" s="239"/>
      <c r="FP63" s="239"/>
      <c r="FQ63" s="239"/>
      <c r="FR63" s="239"/>
      <c r="FS63" s="239"/>
      <c r="FT63" s="239"/>
      <c r="FU63" s="239"/>
      <c r="FV63" s="239"/>
      <c r="FW63" s="239"/>
    </row>
    <row r="64" spans="1:179" s="236" customFormat="1" ht="18">
      <c r="A64" s="260">
        <v>0.06</v>
      </c>
      <c r="B64" s="236">
        <v>22.5</v>
      </c>
      <c r="C64" s="236">
        <v>46</v>
      </c>
      <c r="D64" s="236">
        <v>58</v>
      </c>
      <c r="E64" s="236">
        <v>90</v>
      </c>
      <c r="F64" s="236">
        <v>125</v>
      </c>
      <c r="G64" s="236">
        <v>170</v>
      </c>
      <c r="H64" s="236">
        <v>230</v>
      </c>
      <c r="I64" s="236">
        <v>280</v>
      </c>
      <c r="J64" s="236">
        <v>350</v>
      </c>
      <c r="K64" s="236">
        <v>445</v>
      </c>
      <c r="L64" s="236">
        <v>570</v>
      </c>
      <c r="M64" s="236">
        <v>725</v>
      </c>
      <c r="N64" s="236">
        <v>920</v>
      </c>
      <c r="O64" s="236">
        <v>1180</v>
      </c>
      <c r="P64" s="236">
        <v>1500</v>
      </c>
      <c r="Q64" s="236">
        <v>1900</v>
      </c>
      <c r="R64" s="236">
        <v>3100</v>
      </c>
      <c r="S64" s="236">
        <v>4900</v>
      </c>
      <c r="T64" s="260"/>
      <c r="V64" s="266">
        <v>0.03</v>
      </c>
      <c r="W64" s="265">
        <v>128</v>
      </c>
      <c r="X64" s="265">
        <v>230</v>
      </c>
      <c r="Y64" s="265">
        <v>310</v>
      </c>
      <c r="Z64" s="265">
        <v>495</v>
      </c>
      <c r="AA64" s="265">
        <v>620</v>
      </c>
      <c r="AB64" s="268">
        <v>750</v>
      </c>
      <c r="AC64" s="268">
        <v>980</v>
      </c>
      <c r="AD64" s="268">
        <v>1250</v>
      </c>
      <c r="AE64" s="268">
        <v>1650</v>
      </c>
      <c r="AF64" s="268">
        <v>2000</v>
      </c>
      <c r="AG64" s="268">
        <v>2550</v>
      </c>
      <c r="AH64" s="268">
        <v>3300</v>
      </c>
      <c r="AI64" s="268">
        <v>4100</v>
      </c>
      <c r="AJ64" s="268">
        <v>5000</v>
      </c>
      <c r="AK64" s="265">
        <v>6400</v>
      </c>
      <c r="AL64" s="253"/>
      <c r="AN64" s="239"/>
      <c r="AO64" s="239"/>
      <c r="AP64" s="239"/>
      <c r="AQ64" s="239"/>
      <c r="AR64" s="239"/>
      <c r="AS64" s="239"/>
      <c r="AT64" s="239"/>
      <c r="AU64" s="239"/>
      <c r="AV64" s="239"/>
      <c r="AW64" s="239"/>
      <c r="AX64" s="239"/>
      <c r="AY64" s="239"/>
      <c r="AZ64" s="239"/>
      <c r="BA64" s="239"/>
      <c r="BB64" s="239"/>
      <c r="BC64" s="239"/>
      <c r="BD64" s="239"/>
      <c r="BE64" s="239"/>
      <c r="BF64" s="239"/>
      <c r="BG64" s="239"/>
      <c r="BH64" s="239"/>
      <c r="BI64" s="239"/>
      <c r="BJ64" s="239"/>
      <c r="BK64" s="239"/>
      <c r="BL64" s="239"/>
      <c r="BM64" s="239"/>
      <c r="BN64" s="239"/>
      <c r="BO64" s="239"/>
      <c r="BP64" s="239"/>
      <c r="BQ64" s="239"/>
      <c r="BR64" s="239"/>
      <c r="BS64" s="239"/>
      <c r="BT64" s="239"/>
      <c r="BU64" s="239"/>
      <c r="BV64" s="239"/>
      <c r="BW64" s="239"/>
      <c r="BX64" s="239"/>
      <c r="BY64" s="239"/>
      <c r="BZ64" s="239"/>
      <c r="CA64" s="239"/>
      <c r="CB64" s="239"/>
      <c r="CC64" s="239"/>
      <c r="CD64" s="239"/>
      <c r="CE64" s="239"/>
      <c r="CF64" s="239"/>
      <c r="CG64" s="239"/>
      <c r="CH64" s="239"/>
      <c r="CI64" s="239"/>
      <c r="CJ64" s="239"/>
      <c r="CK64" s="239"/>
      <c r="CL64" s="239"/>
      <c r="CM64" s="239"/>
      <c r="CN64" s="239"/>
      <c r="CO64" s="239"/>
      <c r="CP64" s="239"/>
      <c r="CQ64" s="239"/>
      <c r="CR64" s="239"/>
      <c r="CS64" s="239"/>
      <c r="CT64" s="239"/>
      <c r="CU64" s="239"/>
      <c r="CV64" s="239"/>
      <c r="CW64" s="239"/>
      <c r="CX64" s="239"/>
      <c r="CY64" s="239"/>
      <c r="CZ64" s="239"/>
      <c r="DA64" s="239"/>
      <c r="DB64" s="239"/>
      <c r="DC64" s="239"/>
      <c r="DD64" s="239"/>
      <c r="DE64" s="239"/>
      <c r="DF64" s="239"/>
      <c r="DG64" s="239"/>
      <c r="DH64" s="239"/>
      <c r="DI64" s="239"/>
      <c r="DJ64" s="239"/>
      <c r="DK64" s="239"/>
      <c r="DL64" s="239"/>
      <c r="DM64" s="239"/>
      <c r="DN64" s="239"/>
      <c r="DO64" s="239"/>
      <c r="DP64" s="239"/>
      <c r="DQ64" s="239"/>
      <c r="DR64" s="239"/>
      <c r="DS64" s="239"/>
      <c r="DT64" s="239"/>
      <c r="DU64" s="239"/>
      <c r="DV64" s="239"/>
      <c r="DW64" s="239"/>
      <c r="DX64" s="239"/>
      <c r="DY64" s="239"/>
      <c r="DZ64" s="239"/>
      <c r="EA64" s="239"/>
      <c r="EB64" s="239"/>
      <c r="EC64" s="239"/>
      <c r="ED64" s="239"/>
      <c r="EE64" s="239"/>
      <c r="EF64" s="239"/>
      <c r="EG64" s="239"/>
      <c r="EH64" s="239"/>
      <c r="EI64" s="239"/>
      <c r="EJ64" s="239"/>
      <c r="EK64" s="239"/>
      <c r="EL64" s="239"/>
      <c r="EM64" s="239"/>
      <c r="EN64" s="239"/>
      <c r="EO64" s="239"/>
      <c r="EP64" s="239"/>
      <c r="EQ64" s="239"/>
      <c r="ER64" s="239"/>
      <c r="ES64" s="239"/>
      <c r="ET64" s="239"/>
      <c r="EU64" s="239"/>
      <c r="EV64" s="239"/>
      <c r="EW64" s="239"/>
      <c r="EX64" s="239"/>
      <c r="EY64" s="239"/>
      <c r="EZ64" s="239"/>
      <c r="FA64" s="239"/>
      <c r="FB64" s="239"/>
      <c r="FC64" s="239"/>
      <c r="FD64" s="239"/>
      <c r="FE64" s="239"/>
      <c r="FF64" s="239"/>
      <c r="FG64" s="239"/>
      <c r="FH64" s="239"/>
      <c r="FI64" s="239"/>
      <c r="FJ64" s="239"/>
      <c r="FK64" s="239"/>
      <c r="FL64" s="239"/>
      <c r="FM64" s="239"/>
      <c r="FN64" s="239"/>
      <c r="FO64" s="239"/>
      <c r="FP64" s="239"/>
      <c r="FQ64" s="239"/>
      <c r="FR64" s="239"/>
      <c r="FS64" s="239"/>
      <c r="FT64" s="239"/>
      <c r="FU64" s="239"/>
      <c r="FV64" s="239"/>
      <c r="FW64" s="239"/>
    </row>
    <row r="65" spans="1:179" s="236" customFormat="1" ht="18">
      <c r="A65" s="260">
        <v>0.04</v>
      </c>
      <c r="B65" s="236">
        <v>28</v>
      </c>
      <c r="C65" s="236">
        <v>58</v>
      </c>
      <c r="D65" s="236">
        <v>70</v>
      </c>
      <c r="E65" s="236">
        <v>110</v>
      </c>
      <c r="F65" s="236">
        <v>149</v>
      </c>
      <c r="G65" s="236">
        <v>200</v>
      </c>
      <c r="H65" s="236">
        <v>270</v>
      </c>
      <c r="I65" s="236">
        <v>330</v>
      </c>
      <c r="J65" s="236">
        <v>420</v>
      </c>
      <c r="K65" s="236">
        <v>550</v>
      </c>
      <c r="L65" s="236">
        <v>680</v>
      </c>
      <c r="M65" s="236">
        <v>860</v>
      </c>
      <c r="N65" s="236">
        <v>1100</v>
      </c>
      <c r="O65" s="236">
        <v>1400</v>
      </c>
      <c r="P65" s="236">
        <v>1800</v>
      </c>
      <c r="Q65" s="236">
        <v>2300</v>
      </c>
      <c r="R65" s="236">
        <v>3700</v>
      </c>
      <c r="S65" s="236">
        <v>5900</v>
      </c>
      <c r="T65" s="260"/>
      <c r="V65" s="266">
        <v>0.02</v>
      </c>
      <c r="W65" s="265">
        <v>154</v>
      </c>
      <c r="X65" s="265">
        <v>280</v>
      </c>
      <c r="Y65" s="265">
        <v>390</v>
      </c>
      <c r="Z65" s="265">
        <v>615</v>
      </c>
      <c r="AA65" s="265">
        <v>750</v>
      </c>
      <c r="AB65" s="265">
        <v>910</v>
      </c>
      <c r="AC65" s="265">
        <v>1200</v>
      </c>
      <c r="AD65" s="265">
        <v>1520</v>
      </c>
      <c r="AE65" s="265">
        <v>2000</v>
      </c>
      <c r="AF65" s="265">
        <v>2480</v>
      </c>
      <c r="AG65" s="265">
        <v>3150</v>
      </c>
      <c r="AH65" s="265">
        <v>4000</v>
      </c>
      <c r="AI65" s="265">
        <v>5000</v>
      </c>
      <c r="AJ65" s="265">
        <v>6100</v>
      </c>
      <c r="AK65" s="265">
        <v>7900</v>
      </c>
      <c r="AL65" s="253"/>
      <c r="AN65" s="239"/>
      <c r="AO65" s="239"/>
      <c r="AP65" s="239"/>
      <c r="AQ65" s="239"/>
      <c r="AR65" s="239"/>
      <c r="AS65" s="239"/>
      <c r="AT65" s="239"/>
      <c r="AU65" s="239"/>
      <c r="AV65" s="239"/>
      <c r="AW65" s="239"/>
      <c r="AX65" s="239"/>
      <c r="AY65" s="239"/>
      <c r="AZ65" s="239"/>
      <c r="BA65" s="239"/>
      <c r="BB65" s="239"/>
      <c r="BC65" s="239"/>
      <c r="BD65" s="239"/>
      <c r="BE65" s="239"/>
      <c r="BF65" s="239"/>
      <c r="BG65" s="239"/>
      <c r="BH65" s="239"/>
      <c r="BI65" s="239"/>
      <c r="BJ65" s="239"/>
      <c r="BK65" s="239"/>
      <c r="BL65" s="239"/>
      <c r="BM65" s="239"/>
      <c r="BN65" s="239"/>
      <c r="BO65" s="239"/>
      <c r="BP65" s="239"/>
      <c r="BQ65" s="239"/>
      <c r="BR65" s="239"/>
      <c r="BS65" s="239"/>
      <c r="BT65" s="239"/>
      <c r="BU65" s="239"/>
      <c r="BV65" s="239"/>
      <c r="BW65" s="239"/>
      <c r="BX65" s="239"/>
      <c r="BY65" s="239"/>
      <c r="BZ65" s="239"/>
      <c r="CA65" s="239"/>
      <c r="CB65" s="239"/>
      <c r="CC65" s="239"/>
      <c r="CD65" s="239"/>
      <c r="CE65" s="239"/>
      <c r="CF65" s="239"/>
      <c r="CG65" s="239"/>
      <c r="CH65" s="239"/>
      <c r="CI65" s="239"/>
      <c r="CJ65" s="239"/>
      <c r="CK65" s="239"/>
      <c r="CL65" s="239"/>
      <c r="CM65" s="239"/>
      <c r="CN65" s="239"/>
      <c r="CO65" s="239"/>
      <c r="CP65" s="239"/>
      <c r="CQ65" s="239"/>
      <c r="CR65" s="239"/>
      <c r="CS65" s="239"/>
      <c r="CT65" s="239"/>
      <c r="CU65" s="239"/>
      <c r="CV65" s="239"/>
      <c r="CW65" s="239"/>
      <c r="CX65" s="239"/>
      <c r="CY65" s="239"/>
      <c r="CZ65" s="239"/>
      <c r="DA65" s="239"/>
      <c r="DB65" s="239"/>
      <c r="DC65" s="239"/>
      <c r="DD65" s="239"/>
      <c r="DE65" s="239"/>
      <c r="DF65" s="239"/>
      <c r="DG65" s="239"/>
      <c r="DH65" s="239"/>
      <c r="DI65" s="239"/>
      <c r="DJ65" s="239"/>
      <c r="DK65" s="239"/>
      <c r="DL65" s="239"/>
      <c r="DM65" s="239"/>
      <c r="DN65" s="239"/>
      <c r="DO65" s="239"/>
      <c r="DP65" s="239"/>
      <c r="DQ65" s="239"/>
      <c r="DR65" s="239"/>
      <c r="DS65" s="239"/>
      <c r="DT65" s="239"/>
      <c r="DU65" s="239"/>
      <c r="DV65" s="239"/>
      <c r="DW65" s="239"/>
      <c r="DX65" s="239"/>
      <c r="DY65" s="239"/>
      <c r="DZ65" s="239"/>
      <c r="EA65" s="239"/>
      <c r="EB65" s="239"/>
      <c r="EC65" s="239"/>
      <c r="ED65" s="239"/>
      <c r="EE65" s="239"/>
      <c r="EF65" s="239"/>
      <c r="EG65" s="239"/>
      <c r="EH65" s="239"/>
      <c r="EI65" s="239"/>
      <c r="EJ65" s="239"/>
      <c r="EK65" s="239"/>
      <c r="EL65" s="239"/>
      <c r="EM65" s="239"/>
      <c r="EN65" s="239"/>
      <c r="EO65" s="239"/>
      <c r="EP65" s="239"/>
      <c r="EQ65" s="239"/>
      <c r="ER65" s="239"/>
      <c r="ES65" s="239"/>
      <c r="ET65" s="239"/>
      <c r="EU65" s="239"/>
      <c r="EV65" s="239"/>
      <c r="EW65" s="239"/>
      <c r="EX65" s="239"/>
      <c r="EY65" s="239"/>
      <c r="EZ65" s="239"/>
      <c r="FA65" s="239"/>
      <c r="FB65" s="239"/>
      <c r="FC65" s="239"/>
      <c r="FD65" s="239"/>
      <c r="FE65" s="239"/>
      <c r="FF65" s="239"/>
      <c r="FG65" s="239"/>
      <c r="FH65" s="239"/>
      <c r="FI65" s="239"/>
      <c r="FJ65" s="239"/>
      <c r="FK65" s="239"/>
      <c r="FL65" s="239"/>
      <c r="FM65" s="239"/>
      <c r="FN65" s="239"/>
      <c r="FO65" s="239"/>
      <c r="FP65" s="239"/>
      <c r="FQ65" s="239"/>
      <c r="FR65" s="239"/>
      <c r="FS65" s="239"/>
      <c r="FT65" s="239"/>
      <c r="FU65" s="239"/>
      <c r="FV65" s="239"/>
      <c r="FW65" s="239"/>
    </row>
    <row r="66" spans="1:179" s="236" customFormat="1" ht="18">
      <c r="A66" s="260">
        <v>1.4E-2</v>
      </c>
      <c r="B66" s="236">
        <v>80</v>
      </c>
      <c r="C66" s="236">
        <v>105</v>
      </c>
      <c r="D66" s="236">
        <v>118</v>
      </c>
      <c r="E66" s="236">
        <v>170</v>
      </c>
      <c r="F66" s="236">
        <v>240</v>
      </c>
      <c r="G66" s="236">
        <v>300</v>
      </c>
      <c r="H66" s="236">
        <v>400</v>
      </c>
      <c r="I66" s="236">
        <v>520</v>
      </c>
      <c r="J66" s="236">
        <v>680</v>
      </c>
      <c r="K66" s="236">
        <v>860</v>
      </c>
      <c r="L66" s="236">
        <v>1100</v>
      </c>
      <c r="M66" s="236">
        <v>1400</v>
      </c>
      <c r="N66" s="236">
        <v>1750</v>
      </c>
      <c r="O66" s="236">
        <v>1250</v>
      </c>
      <c r="P66" s="236">
        <v>2900</v>
      </c>
      <c r="Q66" s="236">
        <v>3700</v>
      </c>
      <c r="R66" s="236">
        <v>5800</v>
      </c>
      <c r="S66" s="236">
        <v>9300</v>
      </c>
      <c r="T66" s="260"/>
      <c r="V66" s="266">
        <v>1.4E-2</v>
      </c>
      <c r="W66" s="254">
        <v>185</v>
      </c>
      <c r="X66" s="254">
        <v>340</v>
      </c>
      <c r="Y66" s="254">
        <v>460</v>
      </c>
      <c r="Z66" s="254">
        <v>740</v>
      </c>
      <c r="AA66" s="254">
        <v>900</v>
      </c>
      <c r="AB66" s="254">
        <v>1100</v>
      </c>
      <c r="AC66" s="254">
        <v>1420</v>
      </c>
      <c r="AD66" s="254">
        <v>1850</v>
      </c>
      <c r="AE66" s="254">
        <v>2400</v>
      </c>
      <c r="AF66" s="254">
        <v>2900</v>
      </c>
      <c r="AG66" s="254">
        <v>3750</v>
      </c>
      <c r="AH66" s="254">
        <v>4850</v>
      </c>
      <c r="AI66" s="254">
        <v>6000</v>
      </c>
      <c r="AJ66" s="254">
        <v>7400</v>
      </c>
      <c r="AK66" s="254">
        <v>9400</v>
      </c>
      <c r="AL66" s="260"/>
      <c r="AN66" s="239"/>
      <c r="AO66" s="239"/>
      <c r="AP66" s="239"/>
      <c r="AQ66" s="239"/>
      <c r="AR66" s="239"/>
      <c r="AS66" s="239"/>
      <c r="AT66" s="239"/>
      <c r="AU66" s="239"/>
      <c r="AV66" s="239"/>
      <c r="AW66" s="239"/>
      <c r="AX66" s="239"/>
      <c r="AY66" s="239"/>
      <c r="AZ66" s="239"/>
      <c r="BA66" s="239"/>
      <c r="BB66" s="239"/>
      <c r="BC66" s="239"/>
      <c r="BD66" s="239"/>
      <c r="BE66" s="239"/>
      <c r="BF66" s="239"/>
      <c r="BG66" s="239"/>
      <c r="BH66" s="239"/>
      <c r="BI66" s="239"/>
      <c r="BJ66" s="239"/>
      <c r="BK66" s="239"/>
      <c r="BL66" s="239"/>
      <c r="BM66" s="239"/>
      <c r="BN66" s="239"/>
      <c r="BO66" s="239"/>
      <c r="BP66" s="239"/>
      <c r="BQ66" s="239"/>
      <c r="BR66" s="239"/>
      <c r="BS66" s="239"/>
      <c r="BT66" s="239"/>
      <c r="BU66" s="239"/>
      <c r="BV66" s="239"/>
      <c r="BW66" s="239"/>
      <c r="BX66" s="239"/>
      <c r="BY66" s="239"/>
      <c r="BZ66" s="239"/>
      <c r="CA66" s="239"/>
      <c r="CB66" s="239"/>
      <c r="CC66" s="239"/>
      <c r="CD66" s="239"/>
      <c r="CE66" s="239"/>
      <c r="CF66" s="239"/>
      <c r="CG66" s="239"/>
      <c r="CH66" s="239"/>
      <c r="CI66" s="239"/>
      <c r="CJ66" s="239"/>
      <c r="CK66" s="239"/>
      <c r="CL66" s="239"/>
      <c r="CM66" s="239"/>
      <c r="CN66" s="239"/>
      <c r="CO66" s="239"/>
      <c r="CP66" s="239"/>
      <c r="CQ66" s="239"/>
      <c r="CR66" s="239"/>
      <c r="CS66" s="239"/>
      <c r="CT66" s="239"/>
      <c r="CU66" s="239"/>
      <c r="CV66" s="239"/>
      <c r="CW66" s="239"/>
      <c r="CX66" s="239"/>
      <c r="CY66" s="239"/>
      <c r="CZ66" s="239"/>
      <c r="DA66" s="239"/>
      <c r="DB66" s="239"/>
      <c r="DC66" s="239"/>
      <c r="DD66" s="239"/>
      <c r="DE66" s="239"/>
      <c r="DF66" s="239"/>
      <c r="DG66" s="239"/>
      <c r="DH66" s="239"/>
      <c r="DI66" s="239"/>
      <c r="DJ66" s="239"/>
      <c r="DK66" s="239"/>
      <c r="DL66" s="239"/>
      <c r="DM66" s="239"/>
      <c r="DN66" s="239"/>
      <c r="DO66" s="239"/>
      <c r="DP66" s="239"/>
      <c r="DQ66" s="239"/>
      <c r="DR66" s="239"/>
      <c r="DS66" s="239"/>
      <c r="DT66" s="239"/>
      <c r="DU66" s="239"/>
      <c r="DV66" s="239"/>
      <c r="DW66" s="239"/>
      <c r="DX66" s="239"/>
      <c r="DY66" s="239"/>
      <c r="DZ66" s="239"/>
      <c r="EA66" s="239"/>
      <c r="EB66" s="239"/>
      <c r="EC66" s="239"/>
      <c r="ED66" s="239"/>
      <c r="EE66" s="239"/>
      <c r="EF66" s="239"/>
      <c r="EG66" s="239"/>
      <c r="EH66" s="239"/>
      <c r="EI66" s="239"/>
      <c r="EJ66" s="239"/>
      <c r="EK66" s="239"/>
      <c r="EL66" s="239"/>
      <c r="EM66" s="239"/>
      <c r="EN66" s="239"/>
      <c r="EO66" s="239"/>
      <c r="EP66" s="239"/>
      <c r="EQ66" s="239"/>
      <c r="ER66" s="239"/>
      <c r="ES66" s="239"/>
      <c r="ET66" s="239"/>
      <c r="EU66" s="239"/>
      <c r="EV66" s="239"/>
      <c r="EW66" s="239"/>
      <c r="EX66" s="239"/>
      <c r="EY66" s="239"/>
      <c r="EZ66" s="239"/>
      <c r="FA66" s="239"/>
      <c r="FB66" s="239"/>
      <c r="FC66" s="239"/>
      <c r="FD66" s="239"/>
      <c r="FE66" s="239"/>
      <c r="FF66" s="239"/>
      <c r="FG66" s="239"/>
      <c r="FH66" s="239"/>
      <c r="FI66" s="239"/>
      <c r="FJ66" s="239"/>
      <c r="FK66" s="239"/>
      <c r="FL66" s="239"/>
      <c r="FM66" s="239"/>
      <c r="FN66" s="239"/>
      <c r="FO66" s="239"/>
      <c r="FP66" s="239"/>
      <c r="FQ66" s="239"/>
      <c r="FR66" s="239"/>
      <c r="FS66" s="239"/>
      <c r="FT66" s="239"/>
      <c r="FU66" s="239"/>
      <c r="FV66" s="239"/>
      <c r="FW66" s="239"/>
    </row>
    <row r="67" spans="1:179" s="236" customFormat="1" ht="18">
      <c r="A67" s="260"/>
      <c r="B67" s="260"/>
      <c r="C67" s="260"/>
      <c r="D67" s="260"/>
      <c r="E67" s="260"/>
      <c r="F67" s="260"/>
      <c r="G67" s="260"/>
      <c r="H67" s="260"/>
      <c r="I67" s="260"/>
      <c r="J67" s="260"/>
      <c r="K67" s="260"/>
      <c r="L67" s="260"/>
      <c r="M67" s="260"/>
      <c r="N67" s="260"/>
      <c r="O67" s="260"/>
      <c r="P67" s="260"/>
      <c r="Q67" s="260"/>
      <c r="R67" s="260"/>
      <c r="S67" s="260"/>
      <c r="T67" s="260"/>
      <c r="AL67" s="254"/>
      <c r="AN67" s="239"/>
      <c r="AO67" s="239"/>
      <c r="AP67" s="239"/>
      <c r="AQ67" s="239"/>
      <c r="AR67" s="239"/>
      <c r="AS67" s="239"/>
      <c r="AT67" s="239"/>
      <c r="AU67" s="239"/>
      <c r="AV67" s="239"/>
      <c r="AW67" s="239"/>
      <c r="AX67" s="239"/>
      <c r="AY67" s="239"/>
      <c r="AZ67" s="239"/>
      <c r="BA67" s="239"/>
      <c r="BB67" s="239"/>
      <c r="BC67" s="239"/>
      <c r="BD67" s="239"/>
      <c r="BE67" s="239"/>
      <c r="BF67" s="239"/>
      <c r="BG67" s="239"/>
      <c r="BH67" s="239"/>
      <c r="BI67" s="239"/>
      <c r="BJ67" s="239"/>
      <c r="BK67" s="239"/>
      <c r="BL67" s="239"/>
      <c r="BM67" s="239"/>
      <c r="BN67" s="239"/>
      <c r="BO67" s="239"/>
      <c r="BP67" s="239"/>
      <c r="BQ67" s="239"/>
      <c r="BR67" s="239"/>
      <c r="BS67" s="239"/>
      <c r="BT67" s="239"/>
      <c r="BU67" s="239"/>
      <c r="BV67" s="239"/>
      <c r="BW67" s="239"/>
      <c r="BX67" s="239"/>
      <c r="BY67" s="239"/>
      <c r="BZ67" s="239"/>
      <c r="CA67" s="239"/>
      <c r="CB67" s="239"/>
      <c r="CC67" s="239"/>
      <c r="CD67" s="239"/>
      <c r="CE67" s="239"/>
      <c r="CF67" s="239"/>
      <c r="CG67" s="239"/>
      <c r="CH67" s="239"/>
      <c r="CI67" s="239"/>
      <c r="CJ67" s="239"/>
      <c r="CK67" s="239"/>
      <c r="CL67" s="239"/>
      <c r="CM67" s="239"/>
      <c r="CN67" s="239"/>
      <c r="CO67" s="239"/>
      <c r="CP67" s="239"/>
      <c r="CQ67" s="239"/>
      <c r="CR67" s="239"/>
      <c r="CS67" s="239"/>
      <c r="CT67" s="239"/>
      <c r="CU67" s="239"/>
      <c r="CV67" s="239"/>
      <c r="CW67" s="239"/>
      <c r="CX67" s="239"/>
      <c r="CY67" s="239"/>
      <c r="CZ67" s="239"/>
      <c r="DA67" s="239"/>
      <c r="DB67" s="239"/>
      <c r="DC67" s="239"/>
      <c r="DD67" s="239"/>
      <c r="DE67" s="239"/>
      <c r="DF67" s="239"/>
      <c r="DG67" s="239"/>
      <c r="DH67" s="239"/>
      <c r="DI67" s="239"/>
      <c r="DJ67" s="239"/>
      <c r="DK67" s="239"/>
      <c r="DL67" s="239"/>
      <c r="DM67" s="239"/>
      <c r="DN67" s="239"/>
      <c r="DO67" s="239"/>
      <c r="DP67" s="239"/>
      <c r="DQ67" s="239"/>
      <c r="DR67" s="239"/>
      <c r="DS67" s="239"/>
      <c r="DT67" s="239"/>
      <c r="DU67" s="239"/>
      <c r="DV67" s="239"/>
      <c r="DW67" s="239"/>
      <c r="DX67" s="239"/>
      <c r="DY67" s="239"/>
      <c r="DZ67" s="239"/>
      <c r="EA67" s="239"/>
      <c r="EB67" s="239"/>
      <c r="EC67" s="239"/>
      <c r="ED67" s="239"/>
      <c r="EE67" s="239"/>
      <c r="EF67" s="239"/>
      <c r="EG67" s="239"/>
      <c r="EH67" s="239"/>
      <c r="EI67" s="239"/>
      <c r="EJ67" s="239"/>
      <c r="EK67" s="239"/>
      <c r="EL67" s="239"/>
      <c r="EM67" s="239"/>
      <c r="EN67" s="239"/>
      <c r="EO67" s="239"/>
      <c r="EP67" s="239"/>
      <c r="EQ67" s="239"/>
      <c r="ER67" s="239"/>
      <c r="ES67" s="239"/>
      <c r="ET67" s="239"/>
      <c r="EU67" s="239"/>
      <c r="EV67" s="239"/>
      <c r="EW67" s="239"/>
      <c r="EX67" s="239"/>
      <c r="EY67" s="239"/>
      <c r="EZ67" s="239"/>
      <c r="FA67" s="239"/>
      <c r="FB67" s="239"/>
      <c r="FC67" s="239"/>
      <c r="FD67" s="239"/>
      <c r="FE67" s="239"/>
      <c r="FF67" s="239"/>
      <c r="FG67" s="239"/>
      <c r="FH67" s="239"/>
      <c r="FI67" s="239"/>
      <c r="FJ67" s="239"/>
      <c r="FK67" s="239"/>
      <c r="FL67" s="239"/>
      <c r="FM67" s="239"/>
      <c r="FN67" s="239"/>
      <c r="FO67" s="239"/>
      <c r="FP67" s="239"/>
      <c r="FQ67" s="239"/>
      <c r="FR67" s="239"/>
      <c r="FS67" s="239"/>
      <c r="FT67" s="239"/>
      <c r="FU67" s="239"/>
      <c r="FV67" s="239"/>
      <c r="FW67" s="239"/>
    </row>
    <row r="68" spans="1:179" s="236" customFormat="1" ht="23.25">
      <c r="A68" s="235" t="s">
        <v>916</v>
      </c>
      <c r="B68" s="260"/>
      <c r="C68" s="260"/>
      <c r="D68" s="260"/>
      <c r="E68" s="260"/>
      <c r="F68" s="260"/>
      <c r="G68" s="260"/>
      <c r="H68" s="260"/>
      <c r="I68" s="260"/>
      <c r="J68" s="260"/>
      <c r="K68" s="260"/>
      <c r="L68" s="260"/>
      <c r="M68" s="260"/>
      <c r="N68" s="260"/>
      <c r="O68" s="260"/>
      <c r="P68" s="260"/>
      <c r="Q68" s="260"/>
      <c r="R68" s="260"/>
      <c r="S68" s="260"/>
      <c r="T68" s="260"/>
      <c r="V68" s="256" t="s">
        <v>917</v>
      </c>
      <c r="W68" s="261"/>
      <c r="X68" s="261"/>
      <c r="Y68" s="261"/>
      <c r="Z68" s="261"/>
      <c r="AA68" s="261"/>
      <c r="AB68" s="261"/>
      <c r="AC68" s="261"/>
      <c r="AD68" s="261"/>
      <c r="AE68" s="261"/>
      <c r="AF68" s="261"/>
      <c r="AG68" s="261"/>
      <c r="AH68" s="261"/>
      <c r="AI68" s="261"/>
      <c r="AJ68" s="261"/>
      <c r="AK68" s="261"/>
      <c r="AL68" s="261"/>
      <c r="AN68" s="239"/>
      <c r="AO68" s="239"/>
      <c r="AP68" s="239"/>
      <c r="AQ68" s="239"/>
      <c r="AR68" s="239"/>
      <c r="AS68" s="239"/>
      <c r="AT68" s="239"/>
      <c r="AU68" s="239"/>
      <c r="AV68" s="239"/>
      <c r="AW68" s="239"/>
      <c r="AX68" s="239"/>
      <c r="AY68" s="239"/>
      <c r="AZ68" s="239"/>
      <c r="BA68" s="239"/>
      <c r="BB68" s="239"/>
      <c r="BC68" s="239"/>
      <c r="BD68" s="239"/>
      <c r="BE68" s="239"/>
      <c r="BF68" s="239"/>
      <c r="BG68" s="239"/>
      <c r="BH68" s="239"/>
      <c r="BI68" s="239"/>
      <c r="BJ68" s="239"/>
      <c r="BK68" s="239"/>
      <c r="BL68" s="239"/>
      <c r="BM68" s="239"/>
      <c r="BN68" s="239"/>
      <c r="BO68" s="239"/>
      <c r="BP68" s="239"/>
      <c r="BQ68" s="239"/>
      <c r="BR68" s="239"/>
      <c r="BS68" s="239"/>
      <c r="BT68" s="239"/>
      <c r="BU68" s="239"/>
      <c r="BV68" s="239"/>
      <c r="BW68" s="239"/>
      <c r="BX68" s="239"/>
      <c r="BY68" s="239"/>
      <c r="BZ68" s="239"/>
      <c r="CA68" s="239"/>
      <c r="CB68" s="239"/>
      <c r="CC68" s="239"/>
      <c r="CD68" s="239"/>
      <c r="CE68" s="239"/>
      <c r="CF68" s="239"/>
      <c r="CG68" s="239"/>
      <c r="CH68" s="239"/>
      <c r="CI68" s="239"/>
      <c r="CJ68" s="239"/>
      <c r="CK68" s="239"/>
      <c r="CL68" s="239"/>
      <c r="CM68" s="239"/>
      <c r="CN68" s="239"/>
      <c r="CO68" s="239"/>
      <c r="CP68" s="239"/>
      <c r="CQ68" s="239"/>
      <c r="CR68" s="239"/>
      <c r="CS68" s="239"/>
      <c r="CT68" s="239"/>
      <c r="CU68" s="239"/>
      <c r="CV68" s="239"/>
      <c r="CW68" s="239"/>
      <c r="CX68" s="239"/>
      <c r="CY68" s="239"/>
      <c r="CZ68" s="239"/>
      <c r="DA68" s="239"/>
      <c r="DB68" s="239"/>
      <c r="DC68" s="239"/>
      <c r="DD68" s="239"/>
      <c r="DE68" s="239"/>
      <c r="DF68" s="239"/>
      <c r="DG68" s="239"/>
      <c r="DH68" s="239"/>
      <c r="DI68" s="239"/>
      <c r="DJ68" s="239"/>
      <c r="DK68" s="239"/>
      <c r="DL68" s="239"/>
      <c r="DM68" s="239"/>
      <c r="DN68" s="239"/>
      <c r="DO68" s="239"/>
      <c r="DP68" s="239"/>
      <c r="DQ68" s="239"/>
      <c r="DR68" s="239"/>
      <c r="DS68" s="239"/>
      <c r="DT68" s="239"/>
      <c r="DU68" s="239"/>
      <c r="DV68" s="239"/>
      <c r="DW68" s="239"/>
      <c r="DX68" s="239"/>
      <c r="DY68" s="239"/>
      <c r="DZ68" s="239"/>
      <c r="EA68" s="239"/>
      <c r="EB68" s="239"/>
      <c r="EC68" s="239"/>
      <c r="ED68" s="239"/>
      <c r="EE68" s="239"/>
      <c r="EF68" s="239"/>
      <c r="EG68" s="239"/>
      <c r="EH68" s="239"/>
      <c r="EI68" s="239"/>
      <c r="EJ68" s="239"/>
      <c r="EK68" s="239"/>
      <c r="EL68" s="239"/>
      <c r="EM68" s="239"/>
      <c r="EN68" s="239"/>
      <c r="EO68" s="239"/>
      <c r="EP68" s="239"/>
      <c r="EQ68" s="239"/>
      <c r="ER68" s="239"/>
      <c r="ES68" s="239"/>
      <c r="ET68" s="239"/>
      <c r="EU68" s="239"/>
      <c r="EV68" s="239"/>
      <c r="EW68" s="239"/>
      <c r="EX68" s="239"/>
      <c r="EY68" s="239"/>
      <c r="EZ68" s="239"/>
      <c r="FA68" s="239"/>
      <c r="FB68" s="239"/>
      <c r="FC68" s="239"/>
      <c r="FD68" s="239"/>
      <c r="FE68" s="239"/>
      <c r="FF68" s="239"/>
      <c r="FG68" s="239"/>
      <c r="FH68" s="239"/>
      <c r="FI68" s="239"/>
      <c r="FJ68" s="239"/>
      <c r="FK68" s="239"/>
      <c r="FL68" s="239"/>
      <c r="FM68" s="239"/>
      <c r="FN68" s="239"/>
      <c r="FO68" s="239"/>
      <c r="FP68" s="239"/>
      <c r="FQ68" s="239"/>
      <c r="FR68" s="239"/>
      <c r="FS68" s="239"/>
      <c r="FT68" s="239"/>
      <c r="FU68" s="239"/>
      <c r="FV68" s="239"/>
      <c r="FW68" s="239"/>
    </row>
    <row r="69" spans="1:179" s="236" customFormat="1" ht="15.75">
      <c r="A69" s="260"/>
      <c r="B69" s="260"/>
      <c r="C69" s="260"/>
      <c r="D69" s="260"/>
      <c r="E69" s="260"/>
      <c r="F69" s="260"/>
      <c r="G69" s="260"/>
      <c r="H69" s="260"/>
      <c r="I69" s="260"/>
      <c r="J69" s="260"/>
      <c r="K69" s="260"/>
      <c r="L69" s="260"/>
      <c r="M69" s="260"/>
      <c r="N69" s="260"/>
      <c r="O69" s="260"/>
      <c r="P69" s="260"/>
      <c r="Q69" s="260"/>
      <c r="R69" s="260"/>
      <c r="S69" s="260"/>
      <c r="T69" s="260"/>
      <c r="V69" s="261"/>
      <c r="W69" s="272"/>
      <c r="X69" s="272"/>
      <c r="Y69" s="261"/>
      <c r="Z69" s="261"/>
      <c r="AA69" s="261"/>
      <c r="AB69" s="261"/>
      <c r="AC69" s="261"/>
      <c r="AD69" s="261"/>
      <c r="AE69" s="261"/>
      <c r="AF69" s="261"/>
      <c r="AG69" s="261"/>
      <c r="AH69" s="261"/>
      <c r="AI69" s="261"/>
      <c r="AJ69" s="261"/>
      <c r="AK69" s="261"/>
      <c r="AL69" s="261"/>
      <c r="AN69" s="239"/>
      <c r="AO69" s="239"/>
      <c r="AP69" s="239"/>
      <c r="AQ69" s="239"/>
      <c r="AR69" s="239"/>
      <c r="AS69" s="239"/>
      <c r="AT69" s="239"/>
      <c r="AU69" s="239"/>
      <c r="AV69" s="239"/>
      <c r="AW69" s="239"/>
      <c r="AX69" s="239"/>
      <c r="AY69" s="239"/>
      <c r="AZ69" s="239"/>
      <c r="BA69" s="239"/>
      <c r="BB69" s="239"/>
      <c r="BC69" s="239"/>
      <c r="BD69" s="239"/>
      <c r="BE69" s="239"/>
      <c r="BF69" s="239"/>
      <c r="BG69" s="239"/>
      <c r="BH69" s="239"/>
      <c r="BI69" s="239"/>
      <c r="BJ69" s="239"/>
      <c r="BK69" s="239"/>
      <c r="BL69" s="239"/>
      <c r="BM69" s="239"/>
      <c r="BN69" s="239"/>
      <c r="BO69" s="239"/>
      <c r="BP69" s="239"/>
      <c r="BQ69" s="239"/>
      <c r="BR69" s="239"/>
      <c r="BS69" s="239"/>
      <c r="BT69" s="239"/>
      <c r="BU69" s="239"/>
      <c r="BV69" s="239"/>
      <c r="BW69" s="239"/>
      <c r="BX69" s="239"/>
      <c r="BY69" s="239"/>
      <c r="BZ69" s="239"/>
      <c r="CA69" s="239"/>
      <c r="CB69" s="239"/>
      <c r="CC69" s="239"/>
      <c r="CD69" s="239"/>
      <c r="CE69" s="239"/>
      <c r="CF69" s="239"/>
      <c r="CG69" s="239"/>
      <c r="CH69" s="239"/>
      <c r="CI69" s="239"/>
      <c r="CJ69" s="239"/>
      <c r="CK69" s="239"/>
      <c r="CL69" s="239"/>
      <c r="CM69" s="239"/>
      <c r="CN69" s="239"/>
      <c r="CO69" s="239"/>
      <c r="CP69" s="239"/>
      <c r="CQ69" s="239"/>
      <c r="CR69" s="239"/>
      <c r="CS69" s="239"/>
      <c r="CT69" s="239"/>
      <c r="CU69" s="239"/>
      <c r="CV69" s="239"/>
      <c r="CW69" s="239"/>
      <c r="CX69" s="239"/>
      <c r="CY69" s="239"/>
      <c r="CZ69" s="239"/>
      <c r="DA69" s="239"/>
      <c r="DB69" s="239"/>
      <c r="DC69" s="239"/>
      <c r="DD69" s="239"/>
      <c r="DE69" s="239"/>
      <c r="DF69" s="239"/>
      <c r="DG69" s="239"/>
      <c r="DH69" s="239"/>
      <c r="DI69" s="239"/>
      <c r="DJ69" s="239"/>
      <c r="DK69" s="239"/>
      <c r="DL69" s="239"/>
      <c r="DM69" s="239"/>
      <c r="DN69" s="239"/>
      <c r="DO69" s="239"/>
      <c r="DP69" s="239"/>
      <c r="DQ69" s="239"/>
      <c r="DR69" s="239"/>
      <c r="DS69" s="239"/>
      <c r="DT69" s="239"/>
      <c r="DU69" s="239"/>
      <c r="DV69" s="239"/>
      <c r="DW69" s="239"/>
      <c r="DX69" s="239"/>
      <c r="DY69" s="239"/>
      <c r="DZ69" s="239"/>
      <c r="EA69" s="239"/>
      <c r="EB69" s="239"/>
      <c r="EC69" s="239"/>
      <c r="ED69" s="239"/>
      <c r="EE69" s="239"/>
      <c r="EF69" s="239"/>
      <c r="EG69" s="239"/>
      <c r="EH69" s="239"/>
      <c r="EI69" s="239"/>
      <c r="EJ69" s="239"/>
      <c r="EK69" s="239"/>
      <c r="EL69" s="239"/>
      <c r="EM69" s="239"/>
      <c r="EN69" s="239"/>
      <c r="EO69" s="239"/>
      <c r="EP69" s="239"/>
      <c r="EQ69" s="239"/>
      <c r="ER69" s="239"/>
      <c r="ES69" s="239"/>
      <c r="ET69" s="239"/>
      <c r="EU69" s="239"/>
      <c r="EV69" s="239"/>
      <c r="EW69" s="239"/>
      <c r="EX69" s="239"/>
      <c r="EY69" s="239"/>
      <c r="EZ69" s="239"/>
      <c r="FA69" s="239"/>
      <c r="FB69" s="239"/>
      <c r="FC69" s="239"/>
      <c r="FD69" s="239"/>
      <c r="FE69" s="239"/>
      <c r="FF69" s="239"/>
      <c r="FG69" s="239"/>
      <c r="FH69" s="239"/>
      <c r="FI69" s="239"/>
      <c r="FJ69" s="239"/>
      <c r="FK69" s="239"/>
      <c r="FL69" s="239"/>
      <c r="FM69" s="239"/>
      <c r="FN69" s="239"/>
      <c r="FO69" s="239"/>
      <c r="FP69" s="239"/>
      <c r="FQ69" s="239"/>
      <c r="FR69" s="239"/>
      <c r="FS69" s="239"/>
      <c r="FT69" s="239"/>
      <c r="FU69" s="239"/>
      <c r="FV69" s="239"/>
      <c r="FW69" s="239"/>
    </row>
    <row r="70" spans="1:179" s="236" customFormat="1" ht="18">
      <c r="A70" s="260"/>
      <c r="B70" s="260"/>
      <c r="C70" s="260"/>
      <c r="D70" s="260"/>
      <c r="E70" s="260"/>
      <c r="F70" s="260"/>
      <c r="G70" s="260"/>
      <c r="H70" s="260"/>
      <c r="I70" s="260"/>
      <c r="J70" s="260"/>
      <c r="K70" s="260"/>
      <c r="L70" s="260"/>
      <c r="M70" s="260"/>
      <c r="N70" s="260"/>
      <c r="O70" s="260"/>
      <c r="P70" s="260"/>
      <c r="Q70" s="260"/>
      <c r="R70" s="260"/>
      <c r="S70" s="260"/>
      <c r="T70" s="260"/>
      <c r="V70" s="266"/>
      <c r="W70" s="273"/>
      <c r="X70" s="273"/>
      <c r="Y70" s="273"/>
      <c r="Z70" s="273"/>
      <c r="AA70" s="273"/>
      <c r="AC70" s="274"/>
      <c r="AD70" s="274"/>
      <c r="AE70" s="274"/>
      <c r="AF70" s="274"/>
      <c r="AG70" s="274"/>
      <c r="AH70" s="274"/>
      <c r="AI70" s="274"/>
      <c r="AJ70" s="274"/>
      <c r="AK70" s="273"/>
      <c r="AL70" s="273"/>
      <c r="AN70" s="239"/>
      <c r="AO70" s="239"/>
      <c r="AP70" s="239"/>
      <c r="AQ70" s="239"/>
      <c r="AR70" s="239"/>
      <c r="AS70" s="239"/>
      <c r="AT70" s="239"/>
      <c r="AU70" s="239"/>
      <c r="AV70" s="239"/>
      <c r="AW70" s="239"/>
      <c r="AX70" s="239"/>
      <c r="AY70" s="239"/>
      <c r="AZ70" s="239"/>
      <c r="BA70" s="239"/>
      <c r="BB70" s="239"/>
      <c r="BC70" s="239"/>
      <c r="BD70" s="239"/>
      <c r="BE70" s="239"/>
      <c r="BF70" s="239"/>
      <c r="BG70" s="239"/>
      <c r="BH70" s="239"/>
      <c r="BI70" s="239"/>
      <c r="BJ70" s="239"/>
      <c r="BK70" s="239"/>
      <c r="BL70" s="239"/>
      <c r="BM70" s="239"/>
      <c r="BN70" s="239"/>
      <c r="BO70" s="239"/>
      <c r="BP70" s="239"/>
      <c r="BQ70" s="239"/>
      <c r="BR70" s="239"/>
      <c r="BS70" s="239"/>
      <c r="BT70" s="239"/>
      <c r="BU70" s="239"/>
      <c r="BV70" s="239"/>
      <c r="BW70" s="239"/>
      <c r="BX70" s="239"/>
      <c r="BY70" s="239"/>
      <c r="BZ70" s="239"/>
      <c r="CA70" s="239"/>
      <c r="CB70" s="239"/>
      <c r="CC70" s="239"/>
      <c r="CD70" s="239"/>
      <c r="CE70" s="239"/>
      <c r="CF70" s="239"/>
      <c r="CG70" s="239"/>
      <c r="CH70" s="239"/>
      <c r="CI70" s="239"/>
      <c r="CJ70" s="239"/>
      <c r="CK70" s="239"/>
      <c r="CL70" s="239"/>
      <c r="CM70" s="239"/>
      <c r="CN70" s="239"/>
      <c r="CO70" s="239"/>
      <c r="CP70" s="239"/>
      <c r="CQ70" s="239"/>
      <c r="CR70" s="239"/>
      <c r="CS70" s="239"/>
      <c r="CT70" s="239"/>
      <c r="CU70" s="239"/>
      <c r="CV70" s="239"/>
      <c r="CW70" s="239"/>
      <c r="CX70" s="239"/>
      <c r="CY70" s="239"/>
      <c r="CZ70" s="239"/>
      <c r="DA70" s="239"/>
      <c r="DB70" s="239"/>
      <c r="DC70" s="239"/>
      <c r="DD70" s="239"/>
      <c r="DE70" s="239"/>
      <c r="DF70" s="239"/>
      <c r="DG70" s="239"/>
      <c r="DH70" s="239"/>
      <c r="DI70" s="239"/>
      <c r="DJ70" s="239"/>
      <c r="DK70" s="239"/>
      <c r="DL70" s="239"/>
      <c r="DM70" s="239"/>
      <c r="DN70" s="239"/>
      <c r="DO70" s="239"/>
      <c r="DP70" s="239"/>
      <c r="DQ70" s="239"/>
      <c r="DR70" s="239"/>
      <c r="DS70" s="239"/>
      <c r="DT70" s="239"/>
      <c r="DU70" s="239"/>
      <c r="DV70" s="239"/>
      <c r="DW70" s="239"/>
      <c r="DX70" s="239"/>
      <c r="DY70" s="239"/>
      <c r="DZ70" s="239"/>
      <c r="EA70" s="239"/>
      <c r="EB70" s="239"/>
      <c r="EC70" s="239"/>
      <c r="ED70" s="239"/>
      <c r="EE70" s="239"/>
      <c r="EF70" s="239"/>
      <c r="EG70" s="239"/>
      <c r="EH70" s="239"/>
      <c r="EI70" s="239"/>
      <c r="EJ70" s="239"/>
      <c r="EK70" s="239"/>
      <c r="EL70" s="239"/>
      <c r="EM70" s="239"/>
      <c r="EN70" s="239"/>
      <c r="EO70" s="239"/>
      <c r="EP70" s="239"/>
      <c r="EQ70" s="239"/>
      <c r="ER70" s="239"/>
      <c r="ES70" s="239"/>
      <c r="ET70" s="239"/>
      <c r="EU70" s="239"/>
      <c r="EV70" s="239"/>
      <c r="EW70" s="239"/>
      <c r="EX70" s="239"/>
      <c r="EY70" s="239"/>
      <c r="EZ70" s="239"/>
      <c r="FA70" s="239"/>
      <c r="FB70" s="239"/>
      <c r="FC70" s="239"/>
      <c r="FD70" s="239"/>
      <c r="FE70" s="239"/>
      <c r="FF70" s="239"/>
      <c r="FG70" s="239"/>
      <c r="FH70" s="239"/>
      <c r="FI70" s="239"/>
      <c r="FJ70" s="239"/>
      <c r="FK70" s="239"/>
      <c r="FL70" s="239"/>
      <c r="FM70" s="239"/>
      <c r="FN70" s="239"/>
      <c r="FO70" s="239"/>
      <c r="FP70" s="239"/>
      <c r="FQ70" s="239"/>
      <c r="FR70" s="239"/>
      <c r="FS70" s="239"/>
      <c r="FT70" s="239"/>
      <c r="FU70" s="239"/>
      <c r="FV70" s="239"/>
      <c r="FW70" s="239"/>
    </row>
    <row r="71" spans="1:179" s="236" customFormat="1" ht="18">
      <c r="A71" s="260"/>
      <c r="B71" s="260"/>
      <c r="C71" s="260"/>
      <c r="D71" s="260"/>
      <c r="E71" s="260"/>
      <c r="F71" s="260"/>
      <c r="G71" s="236" t="s">
        <v>872</v>
      </c>
      <c r="H71" s="260"/>
      <c r="I71" s="260"/>
      <c r="J71" s="260"/>
      <c r="K71" s="260"/>
      <c r="L71" s="260"/>
      <c r="M71" s="260"/>
      <c r="N71" s="260"/>
      <c r="O71" s="260"/>
      <c r="P71" s="260"/>
      <c r="Q71" s="260"/>
      <c r="R71" s="260"/>
      <c r="S71" s="260"/>
      <c r="T71" s="260"/>
      <c r="AB71" s="268" t="s">
        <v>872</v>
      </c>
      <c r="AL71" s="257"/>
      <c r="AN71" s="239"/>
      <c r="AO71" s="239"/>
      <c r="AP71" s="239"/>
      <c r="AQ71" s="239"/>
      <c r="AR71" s="239"/>
      <c r="AS71" s="239"/>
      <c r="AT71" s="239"/>
      <c r="AU71" s="239"/>
      <c r="AV71" s="239"/>
      <c r="AW71" s="239"/>
      <c r="AX71" s="239"/>
      <c r="AY71" s="239"/>
      <c r="AZ71" s="239"/>
      <c r="BA71" s="239"/>
      <c r="BB71" s="239"/>
      <c r="BC71" s="239"/>
      <c r="BD71" s="239"/>
      <c r="BE71" s="239"/>
      <c r="BF71" s="239"/>
      <c r="BG71" s="239"/>
      <c r="BH71" s="239"/>
      <c r="BI71" s="239"/>
      <c r="BJ71" s="239"/>
      <c r="BK71" s="239"/>
      <c r="BL71" s="239"/>
      <c r="BM71" s="239"/>
      <c r="BN71" s="239"/>
      <c r="BO71" s="239"/>
      <c r="BP71" s="239"/>
      <c r="BQ71" s="239"/>
      <c r="BR71" s="239"/>
      <c r="BS71" s="239"/>
      <c r="BT71" s="239"/>
      <c r="BU71" s="239"/>
      <c r="BV71" s="239"/>
      <c r="BW71" s="239"/>
      <c r="BX71" s="239"/>
      <c r="BY71" s="239"/>
      <c r="BZ71" s="239"/>
      <c r="CA71" s="239"/>
      <c r="CB71" s="239"/>
      <c r="CC71" s="239"/>
      <c r="CD71" s="239"/>
      <c r="CE71" s="239"/>
      <c r="CF71" s="239"/>
      <c r="CG71" s="239"/>
      <c r="CH71" s="239"/>
      <c r="CI71" s="239"/>
      <c r="CJ71" s="239"/>
      <c r="CK71" s="239"/>
      <c r="CL71" s="239"/>
      <c r="CM71" s="239"/>
      <c r="CN71" s="239"/>
      <c r="CO71" s="239"/>
      <c r="CP71" s="239"/>
      <c r="CQ71" s="239"/>
      <c r="CR71" s="239"/>
      <c r="CS71" s="239"/>
      <c r="CT71" s="239"/>
      <c r="CU71" s="239"/>
      <c r="CV71" s="239"/>
      <c r="CW71" s="239"/>
      <c r="CX71" s="239"/>
      <c r="CY71" s="239"/>
      <c r="CZ71" s="239"/>
      <c r="DA71" s="239"/>
      <c r="DB71" s="239"/>
      <c r="DC71" s="239"/>
      <c r="DD71" s="239"/>
      <c r="DE71" s="239"/>
      <c r="DF71" s="239"/>
      <c r="DG71" s="239"/>
      <c r="DH71" s="239"/>
      <c r="DI71" s="239"/>
      <c r="DJ71" s="239"/>
      <c r="DK71" s="239"/>
      <c r="DL71" s="239"/>
      <c r="DM71" s="239"/>
      <c r="DN71" s="239"/>
      <c r="DO71" s="239"/>
      <c r="DP71" s="239"/>
      <c r="DQ71" s="239"/>
      <c r="DR71" s="239"/>
      <c r="DS71" s="239"/>
      <c r="DT71" s="239"/>
      <c r="DU71" s="239"/>
      <c r="DV71" s="239"/>
      <c r="DW71" s="239"/>
      <c r="DX71" s="239"/>
      <c r="DY71" s="239"/>
      <c r="DZ71" s="239"/>
      <c r="EA71" s="239"/>
      <c r="EB71" s="239"/>
      <c r="EC71" s="239"/>
      <c r="ED71" s="239"/>
      <c r="EE71" s="239"/>
      <c r="EF71" s="239"/>
      <c r="EG71" s="239"/>
      <c r="EH71" s="239"/>
      <c r="EI71" s="239"/>
      <c r="EJ71" s="239"/>
      <c r="EK71" s="239"/>
      <c r="EL71" s="239"/>
      <c r="EM71" s="239"/>
      <c r="EN71" s="239"/>
      <c r="EO71" s="239"/>
      <c r="EP71" s="239"/>
      <c r="EQ71" s="239"/>
      <c r="ER71" s="239"/>
      <c r="ES71" s="239"/>
      <c r="ET71" s="239"/>
      <c r="EU71" s="239"/>
      <c r="EV71" s="239"/>
      <c r="EW71" s="239"/>
      <c r="EX71" s="239"/>
      <c r="EY71" s="239"/>
      <c r="EZ71" s="239"/>
      <c r="FA71" s="239"/>
      <c r="FB71" s="239"/>
      <c r="FC71" s="239"/>
      <c r="FD71" s="239"/>
      <c r="FE71" s="239"/>
      <c r="FF71" s="239"/>
      <c r="FG71" s="239"/>
      <c r="FH71" s="239"/>
      <c r="FI71" s="239"/>
      <c r="FJ71" s="239"/>
      <c r="FK71" s="239"/>
      <c r="FL71" s="239"/>
      <c r="FM71" s="239"/>
      <c r="FN71" s="239"/>
      <c r="FO71" s="239"/>
      <c r="FP71" s="239"/>
      <c r="FQ71" s="239"/>
      <c r="FR71" s="239"/>
      <c r="FS71" s="239"/>
      <c r="FT71" s="239"/>
      <c r="FU71" s="239"/>
      <c r="FV71" s="239"/>
      <c r="FW71" s="239"/>
    </row>
    <row r="72" spans="1:179" s="236" customFormat="1" ht="18">
      <c r="A72" s="260" t="s">
        <v>892</v>
      </c>
      <c r="B72" s="260" t="s">
        <v>899</v>
      </c>
      <c r="C72" s="260" t="s">
        <v>900</v>
      </c>
      <c r="D72" s="260" t="s">
        <v>901</v>
      </c>
      <c r="E72" s="260" t="s">
        <v>902</v>
      </c>
      <c r="F72" s="260" t="s">
        <v>903</v>
      </c>
      <c r="G72" s="260" t="s">
        <v>904</v>
      </c>
      <c r="H72" s="260" t="s">
        <v>905</v>
      </c>
      <c r="I72" s="260" t="s">
        <v>906</v>
      </c>
      <c r="J72" s="260" t="s">
        <v>907</v>
      </c>
      <c r="K72" s="263" t="s">
        <v>908</v>
      </c>
      <c r="L72" s="260" t="s">
        <v>884</v>
      </c>
      <c r="M72" s="260" t="s">
        <v>909</v>
      </c>
      <c r="N72" s="260" t="s">
        <v>910</v>
      </c>
      <c r="O72" s="260" t="s">
        <v>911</v>
      </c>
      <c r="P72" s="260" t="s">
        <v>912</v>
      </c>
      <c r="Q72" s="260" t="s">
        <v>913</v>
      </c>
      <c r="R72" s="260" t="s">
        <v>914</v>
      </c>
      <c r="S72" s="260" t="s">
        <v>915</v>
      </c>
      <c r="T72" s="260"/>
      <c r="V72" s="266" t="s">
        <v>892</v>
      </c>
      <c r="W72" s="257">
        <v>2</v>
      </c>
      <c r="X72" s="257">
        <v>3</v>
      </c>
      <c r="Y72" s="257">
        <v>5</v>
      </c>
      <c r="Z72" s="257">
        <v>7</v>
      </c>
      <c r="AA72" s="257">
        <v>8</v>
      </c>
      <c r="AB72" s="257">
        <v>10</v>
      </c>
      <c r="AC72" s="257">
        <v>15</v>
      </c>
      <c r="AD72" s="257">
        <v>20</v>
      </c>
      <c r="AE72" s="257">
        <v>25</v>
      </c>
      <c r="AF72" s="257">
        <v>30</v>
      </c>
      <c r="AG72" s="257">
        <v>40</v>
      </c>
      <c r="AH72" s="257">
        <v>50</v>
      </c>
      <c r="AI72" s="257">
        <v>65</v>
      </c>
      <c r="AJ72" s="257">
        <v>80</v>
      </c>
      <c r="AK72" s="257">
        <v>100</v>
      </c>
      <c r="AL72" s="254"/>
      <c r="AN72" s="239"/>
      <c r="AO72" s="239"/>
      <c r="AP72" s="239"/>
      <c r="AQ72" s="239"/>
      <c r="AR72" s="239"/>
      <c r="AS72" s="239"/>
      <c r="AT72" s="239"/>
      <c r="AU72" s="239"/>
      <c r="AV72" s="239"/>
      <c r="AW72" s="239"/>
      <c r="AX72" s="239"/>
      <c r="AY72" s="239"/>
      <c r="AZ72" s="239"/>
      <c r="BA72" s="239"/>
      <c r="BB72" s="239"/>
      <c r="BC72" s="239"/>
      <c r="BD72" s="239"/>
      <c r="BE72" s="239"/>
      <c r="BF72" s="239"/>
      <c r="BG72" s="239"/>
      <c r="BH72" s="239"/>
      <c r="BI72" s="239"/>
      <c r="BJ72" s="239"/>
      <c r="BK72" s="239"/>
      <c r="BL72" s="239"/>
      <c r="BM72" s="239"/>
      <c r="BN72" s="239"/>
      <c r="BO72" s="239"/>
      <c r="BP72" s="239"/>
      <c r="BQ72" s="239"/>
      <c r="BR72" s="239"/>
      <c r="BS72" s="239"/>
      <c r="BT72" s="239"/>
      <c r="BU72" s="239"/>
      <c r="BV72" s="239"/>
      <c r="BW72" s="239"/>
      <c r="BX72" s="239"/>
      <c r="BY72" s="239"/>
      <c r="BZ72" s="239"/>
      <c r="CA72" s="239"/>
      <c r="CB72" s="239"/>
      <c r="CC72" s="239"/>
      <c r="CD72" s="239"/>
      <c r="CE72" s="239"/>
      <c r="CF72" s="239"/>
      <c r="CG72" s="239"/>
      <c r="CH72" s="239"/>
      <c r="CI72" s="239"/>
      <c r="CJ72" s="239"/>
      <c r="CK72" s="239"/>
      <c r="CL72" s="239"/>
      <c r="CM72" s="239"/>
      <c r="CN72" s="239"/>
      <c r="CO72" s="239"/>
      <c r="CP72" s="239"/>
      <c r="CQ72" s="239"/>
      <c r="CR72" s="239"/>
      <c r="CS72" s="239"/>
      <c r="CT72" s="239"/>
      <c r="CU72" s="239"/>
      <c r="CV72" s="239"/>
      <c r="CW72" s="239"/>
      <c r="CX72" s="239"/>
      <c r="CY72" s="239"/>
      <c r="CZ72" s="239"/>
      <c r="DA72" s="239"/>
      <c r="DB72" s="239"/>
      <c r="DC72" s="239"/>
      <c r="DD72" s="239"/>
      <c r="DE72" s="239"/>
      <c r="DF72" s="239"/>
      <c r="DG72" s="239"/>
      <c r="DH72" s="239"/>
      <c r="DI72" s="239"/>
      <c r="DJ72" s="239"/>
      <c r="DK72" s="239"/>
      <c r="DL72" s="239"/>
      <c r="DM72" s="239"/>
      <c r="DN72" s="239"/>
      <c r="DO72" s="239"/>
      <c r="DP72" s="239"/>
      <c r="DQ72" s="239"/>
      <c r="DR72" s="239"/>
      <c r="DS72" s="239"/>
      <c r="DT72" s="239"/>
      <c r="DU72" s="239"/>
      <c r="DV72" s="239"/>
      <c r="DW72" s="239"/>
      <c r="DX72" s="239"/>
      <c r="DY72" s="239"/>
      <c r="DZ72" s="239"/>
      <c r="EA72" s="239"/>
      <c r="EB72" s="239"/>
      <c r="EC72" s="239"/>
      <c r="ED72" s="239"/>
      <c r="EE72" s="239"/>
      <c r="EF72" s="239"/>
      <c r="EG72" s="239"/>
      <c r="EH72" s="239"/>
      <c r="EI72" s="239"/>
      <c r="EJ72" s="239"/>
      <c r="EK72" s="239"/>
      <c r="EL72" s="239"/>
      <c r="EM72" s="239"/>
      <c r="EN72" s="239"/>
      <c r="EO72" s="239"/>
      <c r="EP72" s="239"/>
      <c r="EQ72" s="239"/>
      <c r="ER72" s="239"/>
      <c r="ES72" s="239"/>
      <c r="ET72" s="239"/>
      <c r="EU72" s="239"/>
      <c r="EV72" s="239"/>
      <c r="EW72" s="239"/>
      <c r="EX72" s="239"/>
      <c r="EY72" s="239"/>
      <c r="EZ72" s="239"/>
      <c r="FA72" s="239"/>
      <c r="FB72" s="239"/>
      <c r="FC72" s="239"/>
      <c r="FD72" s="239"/>
      <c r="FE72" s="239"/>
      <c r="FF72" s="239"/>
      <c r="FG72" s="239"/>
      <c r="FH72" s="239"/>
      <c r="FI72" s="239"/>
      <c r="FJ72" s="239"/>
      <c r="FK72" s="239"/>
      <c r="FL72" s="239"/>
      <c r="FM72" s="239"/>
      <c r="FN72" s="239"/>
      <c r="FO72" s="239"/>
      <c r="FP72" s="239"/>
      <c r="FQ72" s="239"/>
      <c r="FR72" s="239"/>
      <c r="FS72" s="239"/>
      <c r="FT72" s="239"/>
      <c r="FU72" s="239"/>
      <c r="FV72" s="239"/>
      <c r="FW72" s="239"/>
    </row>
    <row r="73" spans="1:179" s="236" customFormat="1" ht="18">
      <c r="A73" s="260">
        <v>300</v>
      </c>
      <c r="B73" s="275">
        <v>2.4</v>
      </c>
      <c r="C73" s="275">
        <v>5</v>
      </c>
      <c r="D73" s="275">
        <v>7</v>
      </c>
      <c r="E73" s="275">
        <v>14</v>
      </c>
      <c r="F73" s="275">
        <v>18</v>
      </c>
      <c r="G73" s="275">
        <v>23</v>
      </c>
      <c r="H73" s="275">
        <v>30</v>
      </c>
      <c r="I73" s="275">
        <v>37</v>
      </c>
      <c r="J73" s="275">
        <v>47</v>
      </c>
      <c r="K73" s="275">
        <v>60</v>
      </c>
      <c r="L73" s="275">
        <v>75</v>
      </c>
      <c r="M73" s="275">
        <v>100</v>
      </c>
      <c r="N73" s="275">
        <v>120</v>
      </c>
      <c r="O73" s="275">
        <v>160</v>
      </c>
      <c r="P73" s="275">
        <v>200</v>
      </c>
      <c r="Q73" s="275">
        <v>230</v>
      </c>
      <c r="R73" s="275">
        <v>390</v>
      </c>
      <c r="S73" s="275">
        <v>650</v>
      </c>
      <c r="T73" s="260"/>
      <c r="V73" s="266">
        <v>300</v>
      </c>
      <c r="W73" s="268">
        <v>5.0999999999999996</v>
      </c>
      <c r="X73" s="268">
        <v>7</v>
      </c>
      <c r="Y73" s="268">
        <v>12.5</v>
      </c>
      <c r="Z73" s="268">
        <v>17.5</v>
      </c>
      <c r="AA73" s="268">
        <v>20</v>
      </c>
      <c r="AB73" s="268">
        <v>24.5</v>
      </c>
      <c r="AC73" s="268">
        <v>38</v>
      </c>
      <c r="AD73" s="268">
        <v>50</v>
      </c>
      <c r="AE73" s="268">
        <v>62</v>
      </c>
      <c r="AF73" s="268">
        <v>78</v>
      </c>
      <c r="AG73" s="268">
        <v>100</v>
      </c>
      <c r="AH73" s="268">
        <v>124</v>
      </c>
      <c r="AI73" s="268">
        <v>160</v>
      </c>
      <c r="AJ73" s="268">
        <v>190</v>
      </c>
      <c r="AK73" s="268">
        <v>255</v>
      </c>
      <c r="AL73" s="254"/>
      <c r="AN73" s="239"/>
      <c r="AO73" s="239"/>
      <c r="AP73" s="239"/>
      <c r="AQ73" s="239"/>
      <c r="AR73" s="239"/>
      <c r="AS73" s="239"/>
      <c r="AT73" s="239"/>
      <c r="AU73" s="239"/>
      <c r="AV73" s="239"/>
      <c r="AW73" s="239"/>
      <c r="AX73" s="239"/>
      <c r="AY73" s="239"/>
      <c r="AZ73" s="239"/>
      <c r="BA73" s="239"/>
      <c r="BB73" s="239"/>
      <c r="BC73" s="239"/>
      <c r="BD73" s="239"/>
      <c r="BE73" s="239"/>
      <c r="BF73" s="239"/>
      <c r="BG73" s="239"/>
      <c r="BH73" s="239"/>
      <c r="BI73" s="239"/>
      <c r="BJ73" s="239"/>
      <c r="BK73" s="239"/>
      <c r="BL73" s="239"/>
      <c r="BM73" s="239"/>
      <c r="BN73" s="239"/>
      <c r="BO73" s="239"/>
      <c r="BP73" s="239"/>
      <c r="BQ73" s="239"/>
      <c r="BR73" s="239"/>
      <c r="BS73" s="239"/>
      <c r="BT73" s="239"/>
      <c r="BU73" s="239"/>
      <c r="BV73" s="239"/>
      <c r="BW73" s="239"/>
      <c r="BX73" s="239"/>
      <c r="BY73" s="239"/>
      <c r="BZ73" s="239"/>
      <c r="CA73" s="239"/>
      <c r="CB73" s="239"/>
      <c r="CC73" s="239"/>
      <c r="CD73" s="239"/>
      <c r="CE73" s="239"/>
      <c r="CF73" s="239"/>
      <c r="CG73" s="239"/>
      <c r="CH73" s="239"/>
      <c r="CI73" s="239"/>
      <c r="CJ73" s="239"/>
      <c r="CK73" s="239"/>
      <c r="CL73" s="239"/>
      <c r="CM73" s="239"/>
      <c r="CN73" s="239"/>
      <c r="CO73" s="239"/>
      <c r="CP73" s="239"/>
      <c r="CQ73" s="239"/>
      <c r="CR73" s="239"/>
      <c r="CS73" s="239"/>
      <c r="CT73" s="239"/>
      <c r="CU73" s="239"/>
      <c r="CV73" s="239"/>
      <c r="CW73" s="239"/>
      <c r="CX73" s="239"/>
      <c r="CY73" s="239"/>
      <c r="CZ73" s="239"/>
      <c r="DA73" s="239"/>
      <c r="DB73" s="239"/>
      <c r="DC73" s="239"/>
      <c r="DD73" s="239"/>
      <c r="DE73" s="239"/>
      <c r="DF73" s="239"/>
      <c r="DG73" s="239"/>
      <c r="DH73" s="239"/>
      <c r="DI73" s="239"/>
      <c r="DJ73" s="239"/>
      <c r="DK73" s="239"/>
      <c r="DL73" s="239"/>
      <c r="DM73" s="239"/>
      <c r="DN73" s="239"/>
      <c r="DO73" s="239"/>
      <c r="DP73" s="239"/>
      <c r="DQ73" s="239"/>
      <c r="DR73" s="239"/>
      <c r="DS73" s="239"/>
      <c r="DT73" s="239"/>
      <c r="DU73" s="239"/>
      <c r="DV73" s="239"/>
      <c r="DW73" s="239"/>
      <c r="DX73" s="239"/>
      <c r="DY73" s="239"/>
      <c r="DZ73" s="239"/>
      <c r="EA73" s="239"/>
      <c r="EB73" s="239"/>
      <c r="EC73" s="239"/>
      <c r="ED73" s="239"/>
      <c r="EE73" s="239"/>
      <c r="EF73" s="239"/>
      <c r="EG73" s="239"/>
      <c r="EH73" s="239"/>
      <c r="EI73" s="239"/>
      <c r="EJ73" s="239"/>
      <c r="EK73" s="239"/>
      <c r="EL73" s="239"/>
      <c r="EM73" s="239"/>
      <c r="EN73" s="239"/>
      <c r="EO73" s="239"/>
      <c r="EP73" s="239"/>
      <c r="EQ73" s="239"/>
      <c r="ER73" s="239"/>
      <c r="ES73" s="239"/>
      <c r="ET73" s="239"/>
      <c r="EU73" s="239"/>
      <c r="EV73" s="239"/>
      <c r="EW73" s="239"/>
      <c r="EX73" s="239"/>
      <c r="EY73" s="239"/>
      <c r="EZ73" s="239"/>
      <c r="FA73" s="239"/>
      <c r="FB73" s="239"/>
      <c r="FC73" s="239"/>
      <c r="FD73" s="239"/>
      <c r="FE73" s="239"/>
      <c r="FF73" s="239"/>
      <c r="FG73" s="239"/>
      <c r="FH73" s="239"/>
      <c r="FI73" s="239"/>
      <c r="FJ73" s="239"/>
      <c r="FK73" s="239"/>
      <c r="FL73" s="239"/>
      <c r="FM73" s="239"/>
      <c r="FN73" s="239"/>
      <c r="FO73" s="239"/>
      <c r="FP73" s="239"/>
      <c r="FQ73" s="239"/>
      <c r="FR73" s="239"/>
      <c r="FS73" s="239"/>
      <c r="FT73" s="239"/>
      <c r="FU73" s="239"/>
      <c r="FV73" s="239"/>
      <c r="FW73" s="239"/>
    </row>
    <row r="74" spans="1:179" s="236" customFormat="1" ht="18">
      <c r="A74" s="260">
        <v>180</v>
      </c>
      <c r="B74" s="276">
        <v>2.42</v>
      </c>
      <c r="C74" s="276">
        <v>5.0199999999999996</v>
      </c>
      <c r="D74" s="276">
        <v>7.05</v>
      </c>
      <c r="E74" s="276">
        <v>14.1</v>
      </c>
      <c r="F74" s="276">
        <v>18.05</v>
      </c>
      <c r="G74" s="276">
        <v>23.05</v>
      </c>
      <c r="H74" s="276">
        <v>30.05</v>
      </c>
      <c r="I74" s="276">
        <v>37.049999999999997</v>
      </c>
      <c r="J74" s="276">
        <v>48.05</v>
      </c>
      <c r="K74" s="277">
        <v>61</v>
      </c>
      <c r="L74" s="277">
        <v>76</v>
      </c>
      <c r="M74" s="277">
        <v>101</v>
      </c>
      <c r="N74" s="277">
        <v>125</v>
      </c>
      <c r="O74" s="277">
        <v>165</v>
      </c>
      <c r="P74" s="277">
        <v>202</v>
      </c>
      <c r="Q74" s="277">
        <v>250</v>
      </c>
      <c r="R74" s="277">
        <v>400</v>
      </c>
      <c r="S74" s="277">
        <v>680</v>
      </c>
      <c r="T74" s="260"/>
      <c r="V74" s="266">
        <v>240</v>
      </c>
      <c r="W74" s="268">
        <v>5.0999999999999996</v>
      </c>
      <c r="X74" s="268">
        <v>7.2</v>
      </c>
      <c r="Y74" s="268">
        <v>12.7</v>
      </c>
      <c r="Z74" s="268">
        <v>18</v>
      </c>
      <c r="AA74" s="268">
        <v>20.5</v>
      </c>
      <c r="AB74" s="268">
        <v>25</v>
      </c>
      <c r="AC74" s="268">
        <v>39</v>
      </c>
      <c r="AD74" s="268">
        <v>51</v>
      </c>
      <c r="AE74" s="268">
        <v>65</v>
      </c>
      <c r="AF74" s="268">
        <v>80</v>
      </c>
      <c r="AG74" s="268">
        <v>106</v>
      </c>
      <c r="AH74" s="268">
        <v>130</v>
      </c>
      <c r="AI74" s="268">
        <v>166</v>
      </c>
      <c r="AJ74" s="268">
        <v>198</v>
      </c>
      <c r="AK74" s="268">
        <v>260</v>
      </c>
      <c r="AL74" s="254"/>
      <c r="AN74" s="239"/>
      <c r="AO74" s="239"/>
      <c r="AP74" s="239"/>
      <c r="AQ74" s="239"/>
      <c r="AR74" s="239"/>
      <c r="AS74" s="239"/>
      <c r="AT74" s="239"/>
      <c r="AU74" s="239"/>
      <c r="AV74" s="239"/>
      <c r="AW74" s="239"/>
      <c r="AX74" s="239"/>
      <c r="AY74" s="239"/>
      <c r="AZ74" s="239"/>
      <c r="BA74" s="239"/>
      <c r="BB74" s="239"/>
      <c r="BC74" s="239"/>
      <c r="BD74" s="239"/>
      <c r="BE74" s="239"/>
      <c r="BF74" s="239"/>
      <c r="BG74" s="239"/>
      <c r="BH74" s="239"/>
      <c r="BI74" s="239"/>
      <c r="BJ74" s="239"/>
      <c r="BK74" s="239"/>
      <c r="BL74" s="239"/>
      <c r="BM74" s="239"/>
      <c r="BN74" s="239"/>
      <c r="BO74" s="239"/>
      <c r="BP74" s="239"/>
      <c r="BQ74" s="239"/>
      <c r="BR74" s="239"/>
      <c r="BS74" s="239"/>
      <c r="BT74" s="239"/>
      <c r="BU74" s="239"/>
      <c r="BV74" s="239"/>
      <c r="BW74" s="239"/>
      <c r="BX74" s="239"/>
      <c r="BY74" s="239"/>
      <c r="BZ74" s="239"/>
      <c r="CA74" s="239"/>
      <c r="CB74" s="239"/>
      <c r="CC74" s="239"/>
      <c r="CD74" s="239"/>
      <c r="CE74" s="239"/>
      <c r="CF74" s="239"/>
      <c r="CG74" s="239"/>
      <c r="CH74" s="239"/>
      <c r="CI74" s="239"/>
      <c r="CJ74" s="239"/>
      <c r="CK74" s="239"/>
      <c r="CL74" s="239"/>
      <c r="CM74" s="239"/>
      <c r="CN74" s="239"/>
      <c r="CO74" s="239"/>
      <c r="CP74" s="239"/>
      <c r="CQ74" s="239"/>
      <c r="CR74" s="239"/>
      <c r="CS74" s="239"/>
      <c r="CT74" s="239"/>
      <c r="CU74" s="239"/>
      <c r="CV74" s="239"/>
      <c r="CW74" s="239"/>
      <c r="CX74" s="239"/>
      <c r="CY74" s="239"/>
      <c r="CZ74" s="239"/>
      <c r="DA74" s="239"/>
      <c r="DB74" s="239"/>
      <c r="DC74" s="239"/>
      <c r="DD74" s="239"/>
      <c r="DE74" s="239"/>
      <c r="DF74" s="239"/>
      <c r="DG74" s="239"/>
      <c r="DH74" s="239"/>
      <c r="DI74" s="239"/>
      <c r="DJ74" s="239"/>
      <c r="DK74" s="239"/>
      <c r="DL74" s="239"/>
      <c r="DM74" s="239"/>
      <c r="DN74" s="239"/>
      <c r="DO74" s="239"/>
      <c r="DP74" s="239"/>
      <c r="DQ74" s="239"/>
      <c r="DR74" s="239"/>
      <c r="DS74" s="239"/>
      <c r="DT74" s="239"/>
      <c r="DU74" s="239"/>
      <c r="DV74" s="239"/>
      <c r="DW74" s="239"/>
      <c r="DX74" s="239"/>
      <c r="DY74" s="239"/>
      <c r="DZ74" s="239"/>
      <c r="EA74" s="239"/>
      <c r="EB74" s="239"/>
      <c r="EC74" s="239"/>
      <c r="ED74" s="239"/>
      <c r="EE74" s="239"/>
      <c r="EF74" s="239"/>
      <c r="EG74" s="239"/>
      <c r="EH74" s="239"/>
      <c r="EI74" s="239"/>
      <c r="EJ74" s="239"/>
      <c r="EK74" s="239"/>
      <c r="EL74" s="239"/>
      <c r="EM74" s="239"/>
      <c r="EN74" s="239"/>
      <c r="EO74" s="239"/>
      <c r="EP74" s="239"/>
      <c r="EQ74" s="239"/>
      <c r="ER74" s="239"/>
      <c r="ES74" s="239"/>
      <c r="ET74" s="239"/>
      <c r="EU74" s="239"/>
      <c r="EV74" s="239"/>
      <c r="EW74" s="239"/>
      <c r="EX74" s="239"/>
      <c r="EY74" s="239"/>
      <c r="EZ74" s="239"/>
      <c r="FA74" s="239"/>
      <c r="FB74" s="239"/>
      <c r="FC74" s="239"/>
      <c r="FD74" s="239"/>
      <c r="FE74" s="239"/>
      <c r="FF74" s="239"/>
      <c r="FG74" s="239"/>
      <c r="FH74" s="239"/>
      <c r="FI74" s="239"/>
      <c r="FJ74" s="239"/>
      <c r="FK74" s="239"/>
      <c r="FL74" s="239"/>
      <c r="FM74" s="239"/>
      <c r="FN74" s="239"/>
      <c r="FO74" s="239"/>
      <c r="FP74" s="239"/>
      <c r="FQ74" s="239"/>
      <c r="FR74" s="239"/>
      <c r="FS74" s="239"/>
      <c r="FT74" s="239"/>
      <c r="FU74" s="239"/>
      <c r="FV74" s="239"/>
      <c r="FW74" s="239"/>
    </row>
    <row r="75" spans="1:179" s="236" customFormat="1" ht="18">
      <c r="A75" s="260">
        <v>120</v>
      </c>
      <c r="B75" s="275">
        <v>2.4500000000000002</v>
      </c>
      <c r="C75" s="275">
        <v>5.05</v>
      </c>
      <c r="D75" s="275">
        <v>7.1</v>
      </c>
      <c r="E75" s="275">
        <v>14.2</v>
      </c>
      <c r="F75" s="275">
        <v>18.100000000000001</v>
      </c>
      <c r="G75" s="275">
        <v>24</v>
      </c>
      <c r="H75" s="275">
        <v>31</v>
      </c>
      <c r="I75" s="275">
        <v>38</v>
      </c>
      <c r="J75" s="275">
        <v>49</v>
      </c>
      <c r="K75" s="275">
        <v>62</v>
      </c>
      <c r="L75" s="275">
        <v>78</v>
      </c>
      <c r="M75" s="275">
        <v>104</v>
      </c>
      <c r="N75" s="275">
        <v>130</v>
      </c>
      <c r="O75" s="275">
        <v>170</v>
      </c>
      <c r="P75" s="275">
        <v>210</v>
      </c>
      <c r="Q75" s="275">
        <v>260</v>
      </c>
      <c r="R75" s="275">
        <v>430</v>
      </c>
      <c r="S75" s="275">
        <v>710</v>
      </c>
      <c r="T75" s="260"/>
      <c r="V75" s="266">
        <v>120</v>
      </c>
      <c r="W75" s="268">
        <v>5.6</v>
      </c>
      <c r="X75" s="268">
        <v>7.5</v>
      </c>
      <c r="Y75" s="268">
        <v>13.5</v>
      </c>
      <c r="Z75" s="268">
        <v>19.5</v>
      </c>
      <c r="AA75" s="268">
        <v>22</v>
      </c>
      <c r="AB75" s="268">
        <v>27</v>
      </c>
      <c r="AC75" s="268">
        <v>41.5</v>
      </c>
      <c r="AD75" s="268">
        <v>54</v>
      </c>
      <c r="AE75" s="268">
        <v>70</v>
      </c>
      <c r="AF75" s="268">
        <v>86</v>
      </c>
      <c r="AG75" s="268">
        <v>110</v>
      </c>
      <c r="AH75" s="268">
        <v>138</v>
      </c>
      <c r="AI75" s="268">
        <v>180</v>
      </c>
      <c r="AJ75" s="268">
        <v>220</v>
      </c>
      <c r="AK75" s="268">
        <v>280</v>
      </c>
      <c r="AL75" s="254"/>
      <c r="AN75" s="239"/>
      <c r="AO75" s="239"/>
      <c r="AP75" s="239"/>
      <c r="AQ75" s="239"/>
      <c r="AR75" s="239"/>
      <c r="AS75" s="239"/>
      <c r="AT75" s="239"/>
      <c r="AU75" s="239"/>
      <c r="AV75" s="239"/>
      <c r="AW75" s="239"/>
      <c r="AX75" s="239"/>
      <c r="AY75" s="239"/>
      <c r="AZ75" s="239"/>
      <c r="BA75" s="239"/>
      <c r="BB75" s="239"/>
      <c r="BC75" s="239"/>
      <c r="BD75" s="239"/>
      <c r="BE75" s="239"/>
      <c r="BF75" s="239"/>
      <c r="BG75" s="239"/>
      <c r="BH75" s="239"/>
      <c r="BI75" s="239"/>
      <c r="BJ75" s="239"/>
      <c r="BK75" s="239"/>
      <c r="BL75" s="239"/>
      <c r="BM75" s="239"/>
      <c r="BN75" s="239"/>
      <c r="BO75" s="239"/>
      <c r="BP75" s="239"/>
      <c r="BQ75" s="239"/>
      <c r="BR75" s="239"/>
      <c r="BS75" s="239"/>
      <c r="BT75" s="239"/>
      <c r="BU75" s="239"/>
      <c r="BV75" s="239"/>
      <c r="BW75" s="239"/>
      <c r="BX75" s="239"/>
      <c r="BY75" s="239"/>
      <c r="BZ75" s="239"/>
      <c r="CA75" s="239"/>
      <c r="CB75" s="239"/>
      <c r="CC75" s="239"/>
      <c r="CD75" s="239"/>
      <c r="CE75" s="239"/>
      <c r="CF75" s="239"/>
      <c r="CG75" s="239"/>
      <c r="CH75" s="239"/>
      <c r="CI75" s="239"/>
      <c r="CJ75" s="239"/>
      <c r="CK75" s="239"/>
      <c r="CL75" s="239"/>
      <c r="CM75" s="239"/>
      <c r="CN75" s="239"/>
      <c r="CO75" s="239"/>
      <c r="CP75" s="239"/>
      <c r="CQ75" s="239"/>
      <c r="CR75" s="239"/>
      <c r="CS75" s="239"/>
      <c r="CT75" s="239"/>
      <c r="CU75" s="239"/>
      <c r="CV75" s="239"/>
      <c r="CW75" s="239"/>
      <c r="CX75" s="239"/>
      <c r="CY75" s="239"/>
      <c r="CZ75" s="239"/>
      <c r="DA75" s="239"/>
      <c r="DB75" s="239"/>
      <c r="DC75" s="239"/>
      <c r="DD75" s="239"/>
      <c r="DE75" s="239"/>
      <c r="DF75" s="239"/>
      <c r="DG75" s="239"/>
      <c r="DH75" s="239"/>
      <c r="DI75" s="239"/>
      <c r="DJ75" s="239"/>
      <c r="DK75" s="239"/>
      <c r="DL75" s="239"/>
      <c r="DM75" s="239"/>
      <c r="DN75" s="239"/>
      <c r="DO75" s="239"/>
      <c r="DP75" s="239"/>
      <c r="DQ75" s="239"/>
      <c r="DR75" s="239"/>
      <c r="DS75" s="239"/>
      <c r="DT75" s="239"/>
      <c r="DU75" s="239"/>
      <c r="DV75" s="239"/>
      <c r="DW75" s="239"/>
      <c r="DX75" s="239"/>
      <c r="DY75" s="239"/>
      <c r="DZ75" s="239"/>
      <c r="EA75" s="239"/>
      <c r="EB75" s="239"/>
      <c r="EC75" s="239"/>
      <c r="ED75" s="239"/>
      <c r="EE75" s="239"/>
      <c r="EF75" s="239"/>
      <c r="EG75" s="239"/>
      <c r="EH75" s="239"/>
      <c r="EI75" s="239"/>
      <c r="EJ75" s="239"/>
      <c r="EK75" s="239"/>
      <c r="EL75" s="239"/>
      <c r="EM75" s="239"/>
      <c r="EN75" s="239"/>
      <c r="EO75" s="239"/>
      <c r="EP75" s="239"/>
      <c r="EQ75" s="239"/>
      <c r="ER75" s="239"/>
      <c r="ES75" s="239"/>
      <c r="ET75" s="239"/>
      <c r="EU75" s="239"/>
      <c r="EV75" s="239"/>
      <c r="EW75" s="239"/>
      <c r="EX75" s="239"/>
      <c r="EY75" s="239"/>
      <c r="EZ75" s="239"/>
      <c r="FA75" s="239"/>
      <c r="FB75" s="239"/>
      <c r="FC75" s="239"/>
      <c r="FD75" s="239"/>
      <c r="FE75" s="239"/>
      <c r="FF75" s="239"/>
      <c r="FG75" s="239"/>
      <c r="FH75" s="239"/>
      <c r="FI75" s="239"/>
      <c r="FJ75" s="239"/>
      <c r="FK75" s="239"/>
      <c r="FL75" s="239"/>
      <c r="FM75" s="239"/>
      <c r="FN75" s="239"/>
      <c r="FO75" s="239"/>
      <c r="FP75" s="239"/>
      <c r="FQ75" s="239"/>
      <c r="FR75" s="239"/>
      <c r="FS75" s="239"/>
      <c r="FT75" s="239"/>
      <c r="FU75" s="239"/>
      <c r="FV75" s="239"/>
      <c r="FW75" s="239"/>
    </row>
    <row r="76" spans="1:179" s="236" customFormat="1" ht="18">
      <c r="A76" s="260">
        <v>60</v>
      </c>
      <c r="B76" s="275">
        <v>2.5</v>
      </c>
      <c r="C76" s="275">
        <v>5.0999999999999996</v>
      </c>
      <c r="D76" s="275">
        <v>7.4</v>
      </c>
      <c r="E76" s="275">
        <v>15</v>
      </c>
      <c r="F76" s="275">
        <v>19</v>
      </c>
      <c r="G76" s="275">
        <v>25</v>
      </c>
      <c r="H76" s="275">
        <v>32</v>
      </c>
      <c r="I76" s="275">
        <v>40</v>
      </c>
      <c r="J76" s="275">
        <v>51</v>
      </c>
      <c r="K76" s="275">
        <v>68</v>
      </c>
      <c r="L76" s="275">
        <v>80</v>
      </c>
      <c r="M76" s="275">
        <v>109</v>
      </c>
      <c r="N76" s="275">
        <v>135</v>
      </c>
      <c r="O76" s="275">
        <v>178</v>
      </c>
      <c r="P76" s="275">
        <v>220</v>
      </c>
      <c r="Q76" s="275">
        <v>280</v>
      </c>
      <c r="R76" s="275">
        <v>460</v>
      </c>
      <c r="S76" s="275">
        <v>800</v>
      </c>
      <c r="T76" s="260"/>
      <c r="V76" s="266">
        <v>60</v>
      </c>
      <c r="W76" s="268">
        <v>6.7</v>
      </c>
      <c r="X76" s="268">
        <v>9.1</v>
      </c>
      <c r="Y76" s="268">
        <v>15.8</v>
      </c>
      <c r="Z76" s="268">
        <v>21.5</v>
      </c>
      <c r="AA76" s="268">
        <v>25</v>
      </c>
      <c r="AB76" s="268">
        <v>31.5</v>
      </c>
      <c r="AC76" s="268">
        <v>46</v>
      </c>
      <c r="AD76" s="268">
        <v>60</v>
      </c>
      <c r="AE76" s="268">
        <v>78</v>
      </c>
      <c r="AF76" s="268">
        <v>93</v>
      </c>
      <c r="AG76" s="268">
        <v>120</v>
      </c>
      <c r="AH76" s="268">
        <v>150</v>
      </c>
      <c r="AI76" s="268">
        <v>208</v>
      </c>
      <c r="AJ76" s="268">
        <v>245</v>
      </c>
      <c r="AK76" s="268">
        <v>300</v>
      </c>
      <c r="AL76" s="254"/>
      <c r="AN76" s="239"/>
      <c r="AO76" s="239"/>
      <c r="AP76" s="239"/>
      <c r="AQ76" s="239"/>
      <c r="AR76" s="239"/>
      <c r="AS76" s="239"/>
      <c r="AT76" s="239"/>
      <c r="AU76" s="239"/>
      <c r="AV76" s="239"/>
      <c r="AW76" s="239"/>
      <c r="AX76" s="239"/>
      <c r="AY76" s="239"/>
      <c r="AZ76" s="239"/>
      <c r="BA76" s="239"/>
      <c r="BB76" s="239"/>
      <c r="BC76" s="239"/>
      <c r="BD76" s="239"/>
      <c r="BE76" s="239"/>
      <c r="BF76" s="239"/>
      <c r="BG76" s="239"/>
      <c r="BH76" s="239"/>
      <c r="BI76" s="239"/>
      <c r="BJ76" s="239"/>
      <c r="BK76" s="239"/>
      <c r="BL76" s="239"/>
      <c r="BM76" s="239"/>
      <c r="BN76" s="239"/>
      <c r="BO76" s="239"/>
      <c r="BP76" s="239"/>
      <c r="BQ76" s="239"/>
      <c r="BR76" s="239"/>
      <c r="BS76" s="239"/>
      <c r="BT76" s="239"/>
      <c r="BU76" s="239"/>
      <c r="BV76" s="239"/>
      <c r="BW76" s="239"/>
      <c r="BX76" s="239"/>
      <c r="BY76" s="239"/>
      <c r="BZ76" s="239"/>
      <c r="CA76" s="239"/>
      <c r="CB76" s="239"/>
      <c r="CC76" s="239"/>
      <c r="CD76" s="239"/>
      <c r="CE76" s="239"/>
      <c r="CF76" s="239"/>
      <c r="CG76" s="239"/>
      <c r="CH76" s="239"/>
      <c r="CI76" s="239"/>
      <c r="CJ76" s="239"/>
      <c r="CK76" s="239"/>
      <c r="CL76" s="239"/>
      <c r="CM76" s="239"/>
      <c r="CN76" s="239"/>
      <c r="CO76" s="239"/>
      <c r="CP76" s="239"/>
      <c r="CQ76" s="239"/>
      <c r="CR76" s="239"/>
      <c r="CS76" s="239"/>
      <c r="CT76" s="239"/>
      <c r="CU76" s="239"/>
      <c r="CV76" s="239"/>
      <c r="CW76" s="239"/>
      <c r="CX76" s="239"/>
      <c r="CY76" s="239"/>
      <c r="CZ76" s="239"/>
      <c r="DA76" s="239"/>
      <c r="DB76" s="239"/>
      <c r="DC76" s="239"/>
      <c r="DD76" s="239"/>
      <c r="DE76" s="239"/>
      <c r="DF76" s="239"/>
      <c r="DG76" s="239"/>
      <c r="DH76" s="239"/>
      <c r="DI76" s="239"/>
      <c r="DJ76" s="239"/>
      <c r="DK76" s="239"/>
      <c r="DL76" s="239"/>
      <c r="DM76" s="239"/>
      <c r="DN76" s="239"/>
      <c r="DO76" s="239"/>
      <c r="DP76" s="239"/>
      <c r="DQ76" s="239"/>
      <c r="DR76" s="239"/>
      <c r="DS76" s="239"/>
      <c r="DT76" s="239"/>
      <c r="DU76" s="239"/>
      <c r="DV76" s="239"/>
      <c r="DW76" s="239"/>
      <c r="DX76" s="239"/>
      <c r="DY76" s="239"/>
      <c r="DZ76" s="239"/>
      <c r="EA76" s="239"/>
      <c r="EB76" s="239"/>
      <c r="EC76" s="239"/>
      <c r="ED76" s="239"/>
      <c r="EE76" s="239"/>
      <c r="EF76" s="239"/>
      <c r="EG76" s="239"/>
      <c r="EH76" s="239"/>
      <c r="EI76" s="239"/>
      <c r="EJ76" s="239"/>
      <c r="EK76" s="239"/>
      <c r="EL76" s="239"/>
      <c r="EM76" s="239"/>
      <c r="EN76" s="239"/>
      <c r="EO76" s="239"/>
      <c r="EP76" s="239"/>
      <c r="EQ76" s="239"/>
      <c r="ER76" s="239"/>
      <c r="ES76" s="239"/>
      <c r="ET76" s="239"/>
      <c r="EU76" s="239"/>
      <c r="EV76" s="239"/>
      <c r="EW76" s="239"/>
      <c r="EX76" s="239"/>
      <c r="EY76" s="239"/>
      <c r="EZ76" s="239"/>
      <c r="FA76" s="239"/>
      <c r="FB76" s="239"/>
      <c r="FC76" s="239"/>
      <c r="FD76" s="239"/>
      <c r="FE76" s="239"/>
      <c r="FF76" s="239"/>
      <c r="FG76" s="239"/>
      <c r="FH76" s="239"/>
      <c r="FI76" s="239"/>
      <c r="FJ76" s="239"/>
      <c r="FK76" s="239"/>
      <c r="FL76" s="239"/>
      <c r="FM76" s="239"/>
      <c r="FN76" s="239"/>
      <c r="FO76" s="239"/>
      <c r="FP76" s="239"/>
      <c r="FQ76" s="239"/>
      <c r="FR76" s="239"/>
      <c r="FS76" s="239"/>
      <c r="FT76" s="239"/>
      <c r="FU76" s="239"/>
      <c r="FV76" s="239"/>
      <c r="FW76" s="239"/>
    </row>
    <row r="77" spans="1:179" s="236" customFormat="1" ht="18">
      <c r="A77" s="260">
        <v>30</v>
      </c>
      <c r="B77" s="275">
        <v>2.5499999999999998</v>
      </c>
      <c r="C77" s="275">
        <v>5.15</v>
      </c>
      <c r="D77" s="275">
        <v>7.9</v>
      </c>
      <c r="E77" s="275">
        <v>15.1</v>
      </c>
      <c r="F77" s="275">
        <v>20</v>
      </c>
      <c r="G77" s="275">
        <v>26</v>
      </c>
      <c r="H77" s="275">
        <v>34</v>
      </c>
      <c r="I77" s="275">
        <v>44</v>
      </c>
      <c r="J77" s="275">
        <v>55</v>
      </c>
      <c r="K77" s="275">
        <v>70</v>
      </c>
      <c r="L77" s="275">
        <v>86</v>
      </c>
      <c r="M77" s="275">
        <v>115</v>
      </c>
      <c r="N77" s="275">
        <v>141</v>
      </c>
      <c r="O77" s="275">
        <v>190</v>
      </c>
      <c r="P77" s="275">
        <v>240</v>
      </c>
      <c r="Q77" s="275">
        <v>300</v>
      </c>
      <c r="R77" s="275">
        <v>500</v>
      </c>
      <c r="S77" s="275">
        <v>890</v>
      </c>
      <c r="T77" s="260"/>
      <c r="V77" s="266">
        <v>30</v>
      </c>
      <c r="W77" s="268">
        <v>8.6</v>
      </c>
      <c r="X77" s="268">
        <v>12</v>
      </c>
      <c r="Y77" s="268">
        <v>19.5</v>
      </c>
      <c r="Z77" s="268">
        <v>26</v>
      </c>
      <c r="AA77" s="268">
        <v>30</v>
      </c>
      <c r="AB77" s="268">
        <v>39</v>
      </c>
      <c r="AC77" s="268">
        <v>53</v>
      </c>
      <c r="AD77" s="268">
        <v>70</v>
      </c>
      <c r="AE77" s="268">
        <v>90</v>
      </c>
      <c r="AF77" s="268">
        <v>106</v>
      </c>
      <c r="AG77" s="268">
        <v>136</v>
      </c>
      <c r="AH77" s="268">
        <v>170</v>
      </c>
      <c r="AI77" s="268">
        <v>230</v>
      </c>
      <c r="AJ77" s="268">
        <v>280</v>
      </c>
      <c r="AK77" s="268">
        <v>345</v>
      </c>
      <c r="AL77" s="254"/>
      <c r="AN77" s="239"/>
      <c r="AO77" s="239"/>
      <c r="AP77" s="239"/>
      <c r="AQ77" s="239"/>
      <c r="AR77" s="239"/>
      <c r="AS77" s="239"/>
      <c r="AT77" s="239"/>
      <c r="AU77" s="239"/>
      <c r="AV77" s="239"/>
      <c r="AW77" s="239"/>
      <c r="AX77" s="239"/>
      <c r="AY77" s="239"/>
      <c r="AZ77" s="239"/>
      <c r="BA77" s="239"/>
      <c r="BB77" s="239"/>
      <c r="BC77" s="239"/>
      <c r="BD77" s="239"/>
      <c r="BE77" s="239"/>
      <c r="BF77" s="239"/>
      <c r="BG77" s="239"/>
      <c r="BH77" s="239"/>
      <c r="BI77" s="239"/>
      <c r="BJ77" s="239"/>
      <c r="BK77" s="239"/>
      <c r="BL77" s="239"/>
      <c r="BM77" s="239"/>
      <c r="BN77" s="239"/>
      <c r="BO77" s="239"/>
      <c r="BP77" s="239"/>
      <c r="BQ77" s="239"/>
      <c r="BR77" s="239"/>
      <c r="BS77" s="239"/>
      <c r="BT77" s="239"/>
      <c r="BU77" s="239"/>
      <c r="BV77" s="239"/>
      <c r="BW77" s="239"/>
      <c r="BX77" s="239"/>
      <c r="BY77" s="239"/>
      <c r="BZ77" s="239"/>
      <c r="CA77" s="239"/>
      <c r="CB77" s="239"/>
      <c r="CC77" s="239"/>
      <c r="CD77" s="239"/>
      <c r="CE77" s="239"/>
      <c r="CF77" s="239"/>
      <c r="CG77" s="239"/>
      <c r="CH77" s="239"/>
      <c r="CI77" s="239"/>
      <c r="CJ77" s="239"/>
      <c r="CK77" s="239"/>
      <c r="CL77" s="239"/>
      <c r="CM77" s="239"/>
      <c r="CN77" s="239"/>
      <c r="CO77" s="239"/>
      <c r="CP77" s="239"/>
      <c r="CQ77" s="239"/>
      <c r="CR77" s="239"/>
      <c r="CS77" s="239"/>
      <c r="CT77" s="239"/>
      <c r="CU77" s="239"/>
      <c r="CV77" s="239"/>
      <c r="CW77" s="239"/>
      <c r="CX77" s="239"/>
      <c r="CY77" s="239"/>
      <c r="CZ77" s="239"/>
      <c r="DA77" s="239"/>
      <c r="DB77" s="239"/>
      <c r="DC77" s="239"/>
      <c r="DD77" s="239"/>
      <c r="DE77" s="239"/>
      <c r="DF77" s="239"/>
      <c r="DG77" s="239"/>
      <c r="DH77" s="239"/>
      <c r="DI77" s="239"/>
      <c r="DJ77" s="239"/>
      <c r="DK77" s="239"/>
      <c r="DL77" s="239"/>
      <c r="DM77" s="239"/>
      <c r="DN77" s="239"/>
      <c r="DO77" s="239"/>
      <c r="DP77" s="239"/>
      <c r="DQ77" s="239"/>
      <c r="DR77" s="239"/>
      <c r="DS77" s="239"/>
      <c r="DT77" s="239"/>
      <c r="DU77" s="239"/>
      <c r="DV77" s="239"/>
      <c r="DW77" s="239"/>
      <c r="DX77" s="239"/>
      <c r="DY77" s="239"/>
      <c r="DZ77" s="239"/>
      <c r="EA77" s="239"/>
      <c r="EB77" s="239"/>
      <c r="EC77" s="239"/>
      <c r="ED77" s="239"/>
      <c r="EE77" s="239"/>
      <c r="EF77" s="239"/>
      <c r="EG77" s="239"/>
      <c r="EH77" s="239"/>
      <c r="EI77" s="239"/>
      <c r="EJ77" s="239"/>
      <c r="EK77" s="239"/>
      <c r="EL77" s="239"/>
      <c r="EM77" s="239"/>
      <c r="EN77" s="239"/>
      <c r="EO77" s="239"/>
      <c r="EP77" s="239"/>
      <c r="EQ77" s="239"/>
      <c r="ER77" s="239"/>
      <c r="ES77" s="239"/>
      <c r="ET77" s="239"/>
      <c r="EU77" s="239"/>
      <c r="EV77" s="239"/>
      <c r="EW77" s="239"/>
      <c r="EX77" s="239"/>
      <c r="EY77" s="239"/>
      <c r="EZ77" s="239"/>
      <c r="FA77" s="239"/>
      <c r="FB77" s="239"/>
      <c r="FC77" s="239"/>
      <c r="FD77" s="239"/>
      <c r="FE77" s="239"/>
      <c r="FF77" s="239"/>
      <c r="FG77" s="239"/>
      <c r="FH77" s="239"/>
      <c r="FI77" s="239"/>
      <c r="FJ77" s="239"/>
      <c r="FK77" s="239"/>
      <c r="FL77" s="239"/>
      <c r="FM77" s="239"/>
      <c r="FN77" s="239"/>
      <c r="FO77" s="239"/>
      <c r="FP77" s="239"/>
      <c r="FQ77" s="239"/>
      <c r="FR77" s="239"/>
      <c r="FS77" s="239"/>
      <c r="FT77" s="239"/>
      <c r="FU77" s="239"/>
      <c r="FV77" s="239"/>
      <c r="FW77" s="239"/>
    </row>
    <row r="78" spans="1:179" s="236" customFormat="1" ht="18">
      <c r="A78" s="260">
        <v>10</v>
      </c>
      <c r="B78" s="275">
        <v>2.7</v>
      </c>
      <c r="C78" s="275">
        <v>5.6</v>
      </c>
      <c r="D78" s="275">
        <v>8.9</v>
      </c>
      <c r="E78" s="275">
        <v>17</v>
      </c>
      <c r="F78" s="275">
        <v>22</v>
      </c>
      <c r="G78" s="275">
        <v>30</v>
      </c>
      <c r="H78" s="275">
        <v>38</v>
      </c>
      <c r="I78" s="275">
        <v>48</v>
      </c>
      <c r="J78" s="275">
        <v>61</v>
      </c>
      <c r="K78" s="275">
        <v>81</v>
      </c>
      <c r="L78" s="275">
        <v>100</v>
      </c>
      <c r="M78" s="275">
        <v>131</v>
      </c>
      <c r="N78" s="275">
        <v>165</v>
      </c>
      <c r="O78" s="275">
        <v>215</v>
      </c>
      <c r="P78" s="275">
        <v>280</v>
      </c>
      <c r="Q78" s="275">
        <v>360</v>
      </c>
      <c r="R78" s="275">
        <v>600</v>
      </c>
      <c r="S78" s="275">
        <v>1050</v>
      </c>
      <c r="T78" s="260"/>
      <c r="V78" s="266">
        <v>10</v>
      </c>
      <c r="W78" s="268">
        <v>13</v>
      </c>
      <c r="X78" s="268">
        <v>21</v>
      </c>
      <c r="Y78" s="268">
        <v>31.5</v>
      </c>
      <c r="Z78" s="268">
        <v>40</v>
      </c>
      <c r="AA78" s="268">
        <v>46</v>
      </c>
      <c r="AB78" s="268">
        <v>58</v>
      </c>
      <c r="AC78" s="268">
        <v>74</v>
      </c>
      <c r="AD78" s="268">
        <v>105</v>
      </c>
      <c r="AE78" s="268">
        <v>125</v>
      </c>
      <c r="AF78" s="268">
        <v>150</v>
      </c>
      <c r="AG78" s="268">
        <v>188</v>
      </c>
      <c r="AH78" s="268">
        <v>230</v>
      </c>
      <c r="AI78" s="268">
        <v>315</v>
      </c>
      <c r="AJ78" s="268">
        <v>380</v>
      </c>
      <c r="AK78" s="268">
        <v>460</v>
      </c>
      <c r="AL78" s="254"/>
      <c r="AN78" s="239"/>
      <c r="AO78" s="239"/>
      <c r="AP78" s="239"/>
      <c r="AQ78" s="239"/>
      <c r="AR78" s="239"/>
      <c r="AS78" s="239"/>
      <c r="AT78" s="239"/>
      <c r="AU78" s="239"/>
      <c r="AV78" s="239"/>
      <c r="AW78" s="239"/>
      <c r="AX78" s="239"/>
      <c r="AY78" s="239"/>
      <c r="AZ78" s="239"/>
      <c r="BA78" s="239"/>
      <c r="BB78" s="239"/>
      <c r="BC78" s="239"/>
      <c r="BD78" s="239"/>
      <c r="BE78" s="239"/>
      <c r="BF78" s="239"/>
      <c r="BG78" s="239"/>
      <c r="BH78" s="239"/>
      <c r="BI78" s="239"/>
      <c r="BJ78" s="239"/>
      <c r="BK78" s="239"/>
      <c r="BL78" s="239"/>
      <c r="BM78" s="239"/>
      <c r="BN78" s="239"/>
      <c r="BO78" s="239"/>
      <c r="BP78" s="239"/>
      <c r="BQ78" s="239"/>
      <c r="BR78" s="239"/>
      <c r="BS78" s="239"/>
      <c r="BT78" s="239"/>
      <c r="BU78" s="239"/>
      <c r="BV78" s="239"/>
      <c r="BW78" s="239"/>
      <c r="BX78" s="239"/>
      <c r="BY78" s="239"/>
      <c r="BZ78" s="239"/>
      <c r="CA78" s="239"/>
      <c r="CB78" s="239"/>
      <c r="CC78" s="239"/>
      <c r="CD78" s="239"/>
      <c r="CE78" s="239"/>
      <c r="CF78" s="239"/>
      <c r="CG78" s="239"/>
      <c r="CH78" s="239"/>
      <c r="CI78" s="239"/>
      <c r="CJ78" s="239"/>
      <c r="CK78" s="239"/>
      <c r="CL78" s="239"/>
      <c r="CM78" s="239"/>
      <c r="CN78" s="239"/>
      <c r="CO78" s="239"/>
      <c r="CP78" s="239"/>
      <c r="CQ78" s="239"/>
      <c r="CR78" s="239"/>
      <c r="CS78" s="239"/>
      <c r="CT78" s="239"/>
      <c r="CU78" s="239"/>
      <c r="CV78" s="239"/>
      <c r="CW78" s="239"/>
      <c r="CX78" s="239"/>
      <c r="CY78" s="239"/>
      <c r="CZ78" s="239"/>
      <c r="DA78" s="239"/>
      <c r="DB78" s="239"/>
      <c r="DC78" s="239"/>
      <c r="DD78" s="239"/>
      <c r="DE78" s="239"/>
      <c r="DF78" s="239"/>
      <c r="DG78" s="239"/>
      <c r="DH78" s="239"/>
      <c r="DI78" s="239"/>
      <c r="DJ78" s="239"/>
      <c r="DK78" s="239"/>
      <c r="DL78" s="239"/>
      <c r="DM78" s="239"/>
      <c r="DN78" s="239"/>
      <c r="DO78" s="239"/>
      <c r="DP78" s="239"/>
      <c r="DQ78" s="239"/>
      <c r="DR78" s="239"/>
      <c r="DS78" s="239"/>
      <c r="DT78" s="239"/>
      <c r="DU78" s="239"/>
      <c r="DV78" s="239"/>
      <c r="DW78" s="239"/>
      <c r="DX78" s="239"/>
      <c r="DY78" s="239"/>
      <c r="DZ78" s="239"/>
      <c r="EA78" s="239"/>
      <c r="EB78" s="239"/>
      <c r="EC78" s="239"/>
      <c r="ED78" s="239"/>
      <c r="EE78" s="239"/>
      <c r="EF78" s="239"/>
      <c r="EG78" s="239"/>
      <c r="EH78" s="239"/>
      <c r="EI78" s="239"/>
      <c r="EJ78" s="239"/>
      <c r="EK78" s="239"/>
      <c r="EL78" s="239"/>
      <c r="EM78" s="239"/>
      <c r="EN78" s="239"/>
      <c r="EO78" s="239"/>
      <c r="EP78" s="239"/>
      <c r="EQ78" s="239"/>
      <c r="ER78" s="239"/>
      <c r="ES78" s="239"/>
      <c r="ET78" s="239"/>
      <c r="EU78" s="239"/>
      <c r="EV78" s="239"/>
      <c r="EW78" s="239"/>
      <c r="EX78" s="239"/>
      <c r="EY78" s="239"/>
      <c r="EZ78" s="239"/>
      <c r="FA78" s="239"/>
      <c r="FB78" s="239"/>
      <c r="FC78" s="239"/>
      <c r="FD78" s="239"/>
      <c r="FE78" s="239"/>
      <c r="FF78" s="239"/>
      <c r="FG78" s="239"/>
      <c r="FH78" s="239"/>
      <c r="FI78" s="239"/>
      <c r="FJ78" s="239"/>
      <c r="FK78" s="239"/>
      <c r="FL78" s="239"/>
      <c r="FM78" s="239"/>
      <c r="FN78" s="239"/>
      <c r="FO78" s="239"/>
      <c r="FP78" s="239"/>
      <c r="FQ78" s="239"/>
      <c r="FR78" s="239"/>
      <c r="FS78" s="239"/>
      <c r="FT78" s="239"/>
      <c r="FU78" s="239"/>
      <c r="FV78" s="239"/>
      <c r="FW78" s="239"/>
    </row>
    <row r="79" spans="1:179" s="236" customFormat="1" ht="18">
      <c r="A79" s="260">
        <v>4</v>
      </c>
      <c r="B79" s="276">
        <v>3.55</v>
      </c>
      <c r="C79" s="276">
        <v>7.05</v>
      </c>
      <c r="D79" s="278">
        <v>10.5</v>
      </c>
      <c r="E79" s="277">
        <v>19</v>
      </c>
      <c r="F79" s="276">
        <v>25.5</v>
      </c>
      <c r="G79" s="278">
        <v>33.5</v>
      </c>
      <c r="H79" s="277">
        <v>44</v>
      </c>
      <c r="I79" s="277">
        <v>56</v>
      </c>
      <c r="J79" s="277">
        <v>71</v>
      </c>
      <c r="K79" s="277">
        <v>95</v>
      </c>
      <c r="L79" s="277">
        <v>118</v>
      </c>
      <c r="M79" s="277">
        <v>155</v>
      </c>
      <c r="N79" s="277">
        <v>190</v>
      </c>
      <c r="O79" s="277">
        <v>250</v>
      </c>
      <c r="P79" s="277">
        <v>310</v>
      </c>
      <c r="Q79" s="277">
        <v>420</v>
      </c>
      <c r="R79" s="277">
        <v>700</v>
      </c>
      <c r="S79" s="277">
        <v>1280</v>
      </c>
      <c r="T79" s="260"/>
      <c r="V79" s="266">
        <v>4</v>
      </c>
      <c r="W79" s="268">
        <v>18</v>
      </c>
      <c r="X79" s="268">
        <v>30</v>
      </c>
      <c r="Y79" s="268">
        <v>41.5</v>
      </c>
      <c r="Z79" s="268">
        <v>59</v>
      </c>
      <c r="AA79" s="268">
        <v>69</v>
      </c>
      <c r="AB79" s="268">
        <v>89</v>
      </c>
      <c r="AC79" s="268">
        <v>115</v>
      </c>
      <c r="AD79" s="268">
        <v>155</v>
      </c>
      <c r="AE79" s="268">
        <v>190</v>
      </c>
      <c r="AF79" s="268">
        <v>235</v>
      </c>
      <c r="AG79" s="268">
        <v>285</v>
      </c>
      <c r="AH79" s="268">
        <v>360</v>
      </c>
      <c r="AI79" s="268">
        <v>480</v>
      </c>
      <c r="AJ79" s="268">
        <v>570</v>
      </c>
      <c r="AK79" s="268">
        <v>680</v>
      </c>
      <c r="AL79" s="254"/>
      <c r="AN79" s="239"/>
      <c r="AO79" s="239"/>
      <c r="AP79" s="239"/>
      <c r="AQ79" s="239"/>
      <c r="AR79" s="239"/>
      <c r="AS79" s="239"/>
      <c r="AT79" s="239"/>
      <c r="AU79" s="239"/>
      <c r="AV79" s="239"/>
      <c r="AW79" s="239"/>
      <c r="AX79" s="239"/>
      <c r="AY79" s="239"/>
      <c r="AZ79" s="239"/>
      <c r="BA79" s="239"/>
      <c r="BB79" s="239"/>
      <c r="BC79" s="239"/>
      <c r="BD79" s="239"/>
      <c r="BE79" s="239"/>
      <c r="BF79" s="239"/>
      <c r="BG79" s="239"/>
      <c r="BH79" s="239"/>
      <c r="BI79" s="239"/>
      <c r="BJ79" s="239"/>
      <c r="BK79" s="239"/>
      <c r="BL79" s="239"/>
      <c r="BM79" s="239"/>
      <c r="BN79" s="239"/>
      <c r="BO79" s="239"/>
      <c r="BP79" s="239"/>
      <c r="BQ79" s="239"/>
      <c r="BR79" s="239"/>
      <c r="BS79" s="239"/>
      <c r="BT79" s="239"/>
      <c r="BU79" s="239"/>
      <c r="BV79" s="239"/>
      <c r="BW79" s="239"/>
      <c r="BX79" s="239"/>
      <c r="BY79" s="239"/>
      <c r="BZ79" s="239"/>
      <c r="CA79" s="239"/>
      <c r="CB79" s="239"/>
      <c r="CC79" s="239"/>
      <c r="CD79" s="239"/>
      <c r="CE79" s="239"/>
      <c r="CF79" s="239"/>
      <c r="CG79" s="239"/>
      <c r="CH79" s="239"/>
      <c r="CI79" s="239"/>
      <c r="CJ79" s="239"/>
      <c r="CK79" s="239"/>
      <c r="CL79" s="239"/>
      <c r="CM79" s="239"/>
      <c r="CN79" s="239"/>
      <c r="CO79" s="239"/>
      <c r="CP79" s="239"/>
      <c r="CQ79" s="239"/>
      <c r="CR79" s="239"/>
      <c r="CS79" s="239"/>
      <c r="CT79" s="239"/>
      <c r="CU79" s="239"/>
      <c r="CV79" s="239"/>
      <c r="CW79" s="239"/>
      <c r="CX79" s="239"/>
      <c r="CY79" s="239"/>
      <c r="CZ79" s="239"/>
      <c r="DA79" s="239"/>
      <c r="DB79" s="239"/>
      <c r="DC79" s="239"/>
      <c r="DD79" s="239"/>
      <c r="DE79" s="239"/>
      <c r="DF79" s="239"/>
      <c r="DG79" s="239"/>
      <c r="DH79" s="239"/>
      <c r="DI79" s="239"/>
      <c r="DJ79" s="239"/>
      <c r="DK79" s="239"/>
      <c r="DL79" s="239"/>
      <c r="DM79" s="239"/>
      <c r="DN79" s="239"/>
      <c r="DO79" s="239"/>
      <c r="DP79" s="239"/>
      <c r="DQ79" s="239"/>
      <c r="DR79" s="239"/>
      <c r="DS79" s="239"/>
      <c r="DT79" s="239"/>
      <c r="DU79" s="239"/>
      <c r="DV79" s="239"/>
      <c r="DW79" s="239"/>
      <c r="DX79" s="239"/>
      <c r="DY79" s="239"/>
      <c r="DZ79" s="239"/>
      <c r="EA79" s="239"/>
      <c r="EB79" s="239"/>
      <c r="EC79" s="239"/>
      <c r="ED79" s="239"/>
      <c r="EE79" s="239"/>
      <c r="EF79" s="239"/>
      <c r="EG79" s="239"/>
      <c r="EH79" s="239"/>
      <c r="EI79" s="239"/>
      <c r="EJ79" s="239"/>
      <c r="EK79" s="239"/>
      <c r="EL79" s="239"/>
      <c r="EM79" s="239"/>
      <c r="EN79" s="239"/>
      <c r="EO79" s="239"/>
      <c r="EP79" s="239"/>
      <c r="EQ79" s="239"/>
      <c r="ER79" s="239"/>
      <c r="ES79" s="239"/>
      <c r="ET79" s="239"/>
      <c r="EU79" s="239"/>
      <c r="EV79" s="239"/>
      <c r="EW79" s="239"/>
      <c r="EX79" s="239"/>
      <c r="EY79" s="239"/>
      <c r="EZ79" s="239"/>
      <c r="FA79" s="239"/>
      <c r="FB79" s="239"/>
      <c r="FC79" s="239"/>
      <c r="FD79" s="239"/>
      <c r="FE79" s="239"/>
      <c r="FF79" s="239"/>
      <c r="FG79" s="239"/>
      <c r="FH79" s="239"/>
      <c r="FI79" s="239"/>
      <c r="FJ79" s="239"/>
      <c r="FK79" s="239"/>
      <c r="FL79" s="239"/>
      <c r="FM79" s="239"/>
      <c r="FN79" s="239"/>
      <c r="FO79" s="239"/>
      <c r="FP79" s="239"/>
      <c r="FQ79" s="239"/>
      <c r="FR79" s="239"/>
      <c r="FS79" s="239"/>
      <c r="FT79" s="239"/>
      <c r="FU79" s="239"/>
      <c r="FV79" s="239"/>
      <c r="FW79" s="239"/>
    </row>
    <row r="80" spans="1:179" s="236" customFormat="1" ht="18">
      <c r="A80" s="260">
        <v>2</v>
      </c>
      <c r="B80" s="275">
        <v>3.6</v>
      </c>
      <c r="C80" s="275">
        <v>8.1</v>
      </c>
      <c r="D80" s="275">
        <v>12.5</v>
      </c>
      <c r="E80" s="275">
        <v>23</v>
      </c>
      <c r="F80" s="275">
        <v>31</v>
      </c>
      <c r="G80" s="275">
        <v>40</v>
      </c>
      <c r="H80" s="275">
        <v>52</v>
      </c>
      <c r="I80" s="275">
        <v>69</v>
      </c>
      <c r="J80" s="275">
        <v>88</v>
      </c>
      <c r="K80" s="275">
        <v>115</v>
      </c>
      <c r="L80" s="275">
        <v>150</v>
      </c>
      <c r="M80" s="275">
        <v>185</v>
      </c>
      <c r="N80" s="275">
        <v>230</v>
      </c>
      <c r="O80" s="275">
        <v>300</v>
      </c>
      <c r="P80" s="275">
        <v>390</v>
      </c>
      <c r="Q80" s="275">
        <v>500</v>
      </c>
      <c r="R80" s="275">
        <v>850</v>
      </c>
      <c r="S80" s="275">
        <v>1500</v>
      </c>
      <c r="T80" s="260"/>
      <c r="V80" s="266">
        <v>2</v>
      </c>
      <c r="AL80" s="254"/>
      <c r="AN80" s="239"/>
      <c r="AO80" s="239"/>
      <c r="AP80" s="239"/>
      <c r="AQ80" s="239"/>
      <c r="AR80" s="239"/>
      <c r="AS80" s="239"/>
      <c r="AT80" s="239"/>
      <c r="AU80" s="239"/>
      <c r="AV80" s="239"/>
      <c r="AW80" s="239"/>
      <c r="AX80" s="239"/>
      <c r="AY80" s="239"/>
      <c r="AZ80" s="239"/>
      <c r="BA80" s="239"/>
      <c r="BB80" s="239"/>
      <c r="BC80" s="239"/>
      <c r="BD80" s="239"/>
      <c r="BE80" s="239"/>
      <c r="BF80" s="239"/>
      <c r="BG80" s="239"/>
      <c r="BH80" s="239"/>
      <c r="BI80" s="239"/>
      <c r="BJ80" s="239"/>
      <c r="BK80" s="239"/>
      <c r="BL80" s="239"/>
      <c r="BM80" s="239"/>
      <c r="BN80" s="239"/>
      <c r="BO80" s="239"/>
      <c r="BP80" s="239"/>
      <c r="BQ80" s="239"/>
      <c r="BR80" s="239"/>
      <c r="BS80" s="239"/>
      <c r="BT80" s="239"/>
      <c r="BU80" s="239"/>
      <c r="BV80" s="239"/>
      <c r="BW80" s="239"/>
      <c r="BX80" s="239"/>
      <c r="BY80" s="239"/>
      <c r="BZ80" s="239"/>
      <c r="CA80" s="239"/>
      <c r="CB80" s="239"/>
      <c r="CC80" s="239"/>
      <c r="CD80" s="239"/>
      <c r="CE80" s="239"/>
      <c r="CF80" s="239"/>
      <c r="CG80" s="239"/>
      <c r="CH80" s="239"/>
      <c r="CI80" s="239"/>
      <c r="CJ80" s="239"/>
      <c r="CK80" s="239"/>
      <c r="CL80" s="239"/>
      <c r="CM80" s="239"/>
      <c r="CN80" s="239"/>
      <c r="CO80" s="239"/>
      <c r="CP80" s="239"/>
      <c r="CQ80" s="239"/>
      <c r="CR80" s="239"/>
      <c r="CS80" s="239"/>
      <c r="CT80" s="239"/>
      <c r="CU80" s="239"/>
      <c r="CV80" s="239"/>
      <c r="CW80" s="239"/>
      <c r="CX80" s="239"/>
      <c r="CY80" s="239"/>
      <c r="CZ80" s="239"/>
      <c r="DA80" s="239"/>
      <c r="DB80" s="239"/>
      <c r="DC80" s="239"/>
      <c r="DD80" s="239"/>
      <c r="DE80" s="239"/>
      <c r="DF80" s="239"/>
      <c r="DG80" s="239"/>
      <c r="DH80" s="239"/>
      <c r="DI80" s="239"/>
      <c r="DJ80" s="239"/>
      <c r="DK80" s="239"/>
      <c r="DL80" s="239"/>
      <c r="DM80" s="239"/>
      <c r="DN80" s="239"/>
      <c r="DO80" s="239"/>
      <c r="DP80" s="239"/>
      <c r="DQ80" s="239"/>
      <c r="DR80" s="239"/>
      <c r="DS80" s="239"/>
      <c r="DT80" s="239"/>
      <c r="DU80" s="239"/>
      <c r="DV80" s="239"/>
      <c r="DW80" s="239"/>
      <c r="DX80" s="239"/>
      <c r="DY80" s="239"/>
      <c r="DZ80" s="239"/>
      <c r="EA80" s="239"/>
      <c r="EB80" s="239"/>
      <c r="EC80" s="239"/>
      <c r="ED80" s="239"/>
      <c r="EE80" s="239"/>
      <c r="EF80" s="239"/>
      <c r="EG80" s="239"/>
      <c r="EH80" s="239"/>
      <c r="EI80" s="239"/>
      <c r="EJ80" s="239"/>
      <c r="EK80" s="239"/>
      <c r="EL80" s="239"/>
      <c r="EM80" s="239"/>
      <c r="EN80" s="239"/>
      <c r="EO80" s="239"/>
      <c r="EP80" s="239"/>
      <c r="EQ80" s="239"/>
      <c r="ER80" s="239"/>
      <c r="ES80" s="239"/>
      <c r="ET80" s="239"/>
      <c r="EU80" s="239"/>
      <c r="EV80" s="239"/>
      <c r="EW80" s="239"/>
      <c r="EX80" s="239"/>
      <c r="EY80" s="239"/>
      <c r="EZ80" s="239"/>
      <c r="FA80" s="239"/>
      <c r="FB80" s="239"/>
      <c r="FC80" s="239"/>
      <c r="FD80" s="239"/>
      <c r="FE80" s="239"/>
      <c r="FF80" s="239"/>
      <c r="FG80" s="239"/>
      <c r="FH80" s="239"/>
      <c r="FI80" s="239"/>
      <c r="FJ80" s="239"/>
      <c r="FK80" s="239"/>
      <c r="FL80" s="239"/>
      <c r="FM80" s="239"/>
      <c r="FN80" s="239"/>
      <c r="FO80" s="239"/>
      <c r="FP80" s="239"/>
      <c r="FQ80" s="239"/>
      <c r="FR80" s="239"/>
      <c r="FS80" s="239"/>
      <c r="FT80" s="239"/>
      <c r="FU80" s="239"/>
      <c r="FV80" s="239"/>
      <c r="FW80" s="239"/>
    </row>
    <row r="81" spans="1:179" s="236" customFormat="1" ht="18">
      <c r="A81" s="260">
        <v>1</v>
      </c>
      <c r="B81" s="278">
        <v>5.8</v>
      </c>
      <c r="C81" s="277">
        <v>12</v>
      </c>
      <c r="D81" s="277">
        <v>16.5</v>
      </c>
      <c r="E81" s="277">
        <v>29</v>
      </c>
      <c r="F81" s="277">
        <v>40</v>
      </c>
      <c r="G81" s="277">
        <v>53</v>
      </c>
      <c r="H81" s="277">
        <v>68</v>
      </c>
      <c r="I81" s="277">
        <v>90</v>
      </c>
      <c r="J81" s="277">
        <v>113</v>
      </c>
      <c r="K81" s="277">
        <v>145</v>
      </c>
      <c r="L81" s="277">
        <v>180</v>
      </c>
      <c r="M81" s="277">
        <v>245</v>
      </c>
      <c r="N81" s="277">
        <v>290</v>
      </c>
      <c r="O81" s="277">
        <v>380</v>
      </c>
      <c r="P81" s="277">
        <v>480</v>
      </c>
      <c r="Q81" s="277">
        <v>650</v>
      </c>
      <c r="R81" s="277">
        <v>1050</v>
      </c>
      <c r="S81" s="277">
        <v>1900</v>
      </c>
      <c r="T81" s="260"/>
      <c r="V81" s="266">
        <v>1</v>
      </c>
      <c r="W81" s="268">
        <v>28.5</v>
      </c>
      <c r="X81" s="268">
        <v>50</v>
      </c>
      <c r="Y81" s="268">
        <v>70</v>
      </c>
      <c r="Z81" s="268">
        <v>110</v>
      </c>
      <c r="AA81" s="268">
        <v>135</v>
      </c>
      <c r="AB81" s="268">
        <v>165</v>
      </c>
      <c r="AC81" s="268">
        <v>220</v>
      </c>
      <c r="AD81" s="268">
        <v>280</v>
      </c>
      <c r="AE81" s="268">
        <v>350</v>
      </c>
      <c r="AF81" s="268">
        <v>480</v>
      </c>
      <c r="AG81" s="268">
        <v>600</v>
      </c>
      <c r="AH81" s="268">
        <v>750</v>
      </c>
      <c r="AI81" s="268">
        <v>990</v>
      </c>
      <c r="AJ81" s="268">
        <v>1180</v>
      </c>
      <c r="AK81" s="268">
        <v>1400</v>
      </c>
      <c r="AL81" s="254"/>
      <c r="AN81" s="239"/>
      <c r="AO81" s="239"/>
      <c r="AP81" s="239"/>
      <c r="AQ81" s="239"/>
      <c r="AR81" s="239"/>
      <c r="AS81" s="239"/>
      <c r="AT81" s="239"/>
      <c r="AU81" s="239"/>
      <c r="AV81" s="239"/>
      <c r="AW81" s="239"/>
      <c r="AX81" s="239"/>
      <c r="AY81" s="239"/>
      <c r="AZ81" s="239"/>
      <c r="BA81" s="239"/>
      <c r="BB81" s="239"/>
      <c r="BC81" s="239"/>
      <c r="BD81" s="239"/>
      <c r="BE81" s="239"/>
      <c r="BF81" s="239"/>
      <c r="BG81" s="239"/>
      <c r="BH81" s="239"/>
      <c r="BI81" s="239"/>
      <c r="BJ81" s="239"/>
      <c r="BK81" s="239"/>
      <c r="BL81" s="239"/>
      <c r="BM81" s="239"/>
      <c r="BN81" s="239"/>
      <c r="BO81" s="239"/>
      <c r="BP81" s="239"/>
      <c r="BQ81" s="239"/>
      <c r="BR81" s="239"/>
      <c r="BS81" s="239"/>
      <c r="BT81" s="239"/>
      <c r="BU81" s="239"/>
      <c r="BV81" s="239"/>
      <c r="BW81" s="239"/>
      <c r="BX81" s="239"/>
      <c r="BY81" s="239"/>
      <c r="BZ81" s="239"/>
      <c r="CA81" s="239"/>
      <c r="CB81" s="239"/>
      <c r="CC81" s="239"/>
      <c r="CD81" s="239"/>
      <c r="CE81" s="239"/>
      <c r="CF81" s="239"/>
      <c r="CG81" s="239"/>
      <c r="CH81" s="239"/>
      <c r="CI81" s="239"/>
      <c r="CJ81" s="239"/>
      <c r="CK81" s="239"/>
      <c r="CL81" s="239"/>
      <c r="CM81" s="239"/>
      <c r="CN81" s="239"/>
      <c r="CO81" s="239"/>
      <c r="CP81" s="239"/>
      <c r="CQ81" s="239"/>
      <c r="CR81" s="239"/>
      <c r="CS81" s="239"/>
      <c r="CT81" s="239"/>
      <c r="CU81" s="239"/>
      <c r="CV81" s="239"/>
      <c r="CW81" s="239"/>
      <c r="CX81" s="239"/>
      <c r="CY81" s="239"/>
      <c r="CZ81" s="239"/>
      <c r="DA81" s="239"/>
      <c r="DB81" s="239"/>
      <c r="DC81" s="239"/>
      <c r="DD81" s="239"/>
      <c r="DE81" s="239"/>
      <c r="DF81" s="239"/>
      <c r="DG81" s="239"/>
      <c r="DH81" s="239"/>
      <c r="DI81" s="239"/>
      <c r="DJ81" s="239"/>
      <c r="DK81" s="239"/>
      <c r="DL81" s="239"/>
      <c r="DM81" s="239"/>
      <c r="DN81" s="239"/>
      <c r="DO81" s="239"/>
      <c r="DP81" s="239"/>
      <c r="DQ81" s="239"/>
      <c r="DR81" s="239"/>
      <c r="DS81" s="239"/>
      <c r="DT81" s="239"/>
      <c r="DU81" s="239"/>
      <c r="DV81" s="239"/>
      <c r="DW81" s="239"/>
      <c r="DX81" s="239"/>
      <c r="DY81" s="239"/>
      <c r="DZ81" s="239"/>
      <c r="EA81" s="239"/>
      <c r="EB81" s="239"/>
      <c r="EC81" s="239"/>
      <c r="ED81" s="239"/>
      <c r="EE81" s="239"/>
      <c r="EF81" s="239"/>
      <c r="EG81" s="239"/>
      <c r="EH81" s="239"/>
      <c r="EI81" s="239"/>
      <c r="EJ81" s="239"/>
      <c r="EK81" s="239"/>
      <c r="EL81" s="239"/>
      <c r="EM81" s="239"/>
      <c r="EN81" s="239"/>
      <c r="EO81" s="239"/>
      <c r="EP81" s="239"/>
      <c r="EQ81" s="239"/>
      <c r="ER81" s="239"/>
      <c r="ES81" s="239"/>
      <c r="ET81" s="239"/>
      <c r="EU81" s="239"/>
      <c r="EV81" s="239"/>
      <c r="EW81" s="239"/>
      <c r="EX81" s="239"/>
      <c r="EY81" s="239"/>
      <c r="EZ81" s="239"/>
      <c r="FA81" s="239"/>
      <c r="FB81" s="239"/>
      <c r="FC81" s="239"/>
      <c r="FD81" s="239"/>
      <c r="FE81" s="239"/>
      <c r="FF81" s="239"/>
      <c r="FG81" s="239"/>
      <c r="FH81" s="239"/>
      <c r="FI81" s="239"/>
      <c r="FJ81" s="239"/>
      <c r="FK81" s="239"/>
      <c r="FL81" s="239"/>
      <c r="FM81" s="239"/>
      <c r="FN81" s="239"/>
      <c r="FO81" s="239"/>
      <c r="FP81" s="239"/>
      <c r="FQ81" s="239"/>
      <c r="FR81" s="239"/>
      <c r="FS81" s="239"/>
      <c r="FT81" s="239"/>
      <c r="FU81" s="239"/>
      <c r="FV81" s="239"/>
      <c r="FW81" s="239"/>
    </row>
    <row r="82" spans="1:179" s="236" customFormat="1" ht="18">
      <c r="A82" s="260">
        <v>0.5</v>
      </c>
      <c r="B82" s="278">
        <v>8.4</v>
      </c>
      <c r="C82" s="277">
        <v>17</v>
      </c>
      <c r="D82" s="277">
        <v>23.5</v>
      </c>
      <c r="E82" s="277">
        <v>39</v>
      </c>
      <c r="F82" s="277">
        <v>53</v>
      </c>
      <c r="G82" s="277">
        <v>72</v>
      </c>
      <c r="H82" s="277">
        <v>90</v>
      </c>
      <c r="I82" s="277">
        <v>120</v>
      </c>
      <c r="J82" s="277">
        <v>150</v>
      </c>
      <c r="K82" s="277">
        <v>200</v>
      </c>
      <c r="L82" s="277">
        <v>250</v>
      </c>
      <c r="M82" s="277">
        <v>340</v>
      </c>
      <c r="N82" s="277">
        <v>390</v>
      </c>
      <c r="O82" s="277">
        <v>540</v>
      </c>
      <c r="P82" s="277">
        <v>650</v>
      </c>
      <c r="Q82" s="277">
        <v>860</v>
      </c>
      <c r="R82" s="277">
        <v>1400</v>
      </c>
      <c r="S82" s="277">
        <v>2450</v>
      </c>
      <c r="T82" s="260"/>
      <c r="V82" s="266">
        <v>0.5</v>
      </c>
      <c r="W82" s="268">
        <v>40</v>
      </c>
      <c r="X82" s="268">
        <v>70</v>
      </c>
      <c r="Y82" s="268">
        <v>94</v>
      </c>
      <c r="Z82" s="268">
        <v>160</v>
      </c>
      <c r="AA82" s="268">
        <v>190</v>
      </c>
      <c r="AB82" s="268">
        <v>230</v>
      </c>
      <c r="AC82" s="268">
        <v>315</v>
      </c>
      <c r="AD82" s="268">
        <v>380</v>
      </c>
      <c r="AE82" s="268">
        <v>500</v>
      </c>
      <c r="AF82" s="268">
        <v>680</v>
      </c>
      <c r="AG82" s="268">
        <v>850</v>
      </c>
      <c r="AH82" s="268">
        <v>1060</v>
      </c>
      <c r="AI82" s="268">
        <v>1400</v>
      </c>
      <c r="AJ82" s="268">
        <v>1700</v>
      </c>
      <c r="AK82" s="268">
        <v>2100</v>
      </c>
      <c r="AL82" s="254"/>
      <c r="AN82" s="239"/>
      <c r="AO82" s="239"/>
      <c r="AP82" s="239"/>
      <c r="AQ82" s="239"/>
      <c r="AR82" s="239"/>
      <c r="AS82" s="239"/>
      <c r="AT82" s="239"/>
      <c r="AU82" s="239"/>
      <c r="AV82" s="239"/>
      <c r="AW82" s="239"/>
      <c r="AX82" s="239"/>
      <c r="AY82" s="239"/>
      <c r="AZ82" s="239"/>
      <c r="BA82" s="239"/>
      <c r="BB82" s="239"/>
      <c r="BC82" s="239"/>
      <c r="BD82" s="239"/>
      <c r="BE82" s="239"/>
      <c r="BF82" s="239"/>
      <c r="BG82" s="239"/>
      <c r="BH82" s="239"/>
      <c r="BI82" s="239"/>
      <c r="BJ82" s="239"/>
      <c r="BK82" s="239"/>
      <c r="BL82" s="239"/>
      <c r="BM82" s="239"/>
      <c r="BN82" s="239"/>
      <c r="BO82" s="239"/>
      <c r="BP82" s="239"/>
      <c r="BQ82" s="239"/>
      <c r="BR82" s="239"/>
      <c r="BS82" s="239"/>
      <c r="BT82" s="239"/>
      <c r="BU82" s="239"/>
      <c r="BV82" s="239"/>
      <c r="BW82" s="239"/>
      <c r="BX82" s="239"/>
      <c r="BY82" s="239"/>
      <c r="BZ82" s="239"/>
      <c r="CA82" s="239"/>
      <c r="CB82" s="239"/>
      <c r="CC82" s="239"/>
      <c r="CD82" s="239"/>
      <c r="CE82" s="239"/>
      <c r="CF82" s="239"/>
      <c r="CG82" s="239"/>
      <c r="CH82" s="239"/>
      <c r="CI82" s="239"/>
      <c r="CJ82" s="239"/>
      <c r="CK82" s="239"/>
      <c r="CL82" s="239"/>
      <c r="CM82" s="239"/>
      <c r="CN82" s="239"/>
      <c r="CO82" s="239"/>
      <c r="CP82" s="239"/>
      <c r="CQ82" s="239"/>
      <c r="CR82" s="239"/>
      <c r="CS82" s="239"/>
      <c r="CT82" s="239"/>
      <c r="CU82" s="239"/>
      <c r="CV82" s="239"/>
      <c r="CW82" s="239"/>
      <c r="CX82" s="239"/>
      <c r="CY82" s="239"/>
      <c r="CZ82" s="239"/>
      <c r="DA82" s="239"/>
      <c r="DB82" s="239"/>
      <c r="DC82" s="239"/>
      <c r="DD82" s="239"/>
      <c r="DE82" s="239"/>
      <c r="DF82" s="239"/>
      <c r="DG82" s="239"/>
      <c r="DH82" s="239"/>
      <c r="DI82" s="239"/>
      <c r="DJ82" s="239"/>
      <c r="DK82" s="239"/>
      <c r="DL82" s="239"/>
      <c r="DM82" s="239"/>
      <c r="DN82" s="239"/>
      <c r="DO82" s="239"/>
      <c r="DP82" s="239"/>
      <c r="DQ82" s="239"/>
      <c r="DR82" s="239"/>
      <c r="DS82" s="239"/>
      <c r="DT82" s="239"/>
      <c r="DU82" s="239"/>
      <c r="DV82" s="239"/>
      <c r="DW82" s="239"/>
      <c r="DX82" s="239"/>
      <c r="DY82" s="239"/>
      <c r="DZ82" s="239"/>
      <c r="EA82" s="239"/>
      <c r="EB82" s="239"/>
      <c r="EC82" s="239"/>
      <c r="ED82" s="239"/>
      <c r="EE82" s="239"/>
      <c r="EF82" s="239"/>
      <c r="EG82" s="239"/>
      <c r="EH82" s="239"/>
      <c r="EI82" s="239"/>
      <c r="EJ82" s="239"/>
      <c r="EK82" s="239"/>
      <c r="EL82" s="239"/>
      <c r="EM82" s="239"/>
      <c r="EN82" s="239"/>
      <c r="EO82" s="239"/>
      <c r="EP82" s="239"/>
      <c r="EQ82" s="239"/>
      <c r="ER82" s="239"/>
      <c r="ES82" s="239"/>
      <c r="ET82" s="239"/>
      <c r="EU82" s="239"/>
      <c r="EV82" s="239"/>
      <c r="EW82" s="239"/>
      <c r="EX82" s="239"/>
      <c r="EY82" s="239"/>
      <c r="EZ82" s="239"/>
      <c r="FA82" s="239"/>
      <c r="FB82" s="239"/>
      <c r="FC82" s="239"/>
      <c r="FD82" s="239"/>
      <c r="FE82" s="239"/>
      <c r="FF82" s="239"/>
      <c r="FG82" s="239"/>
      <c r="FH82" s="239"/>
      <c r="FI82" s="239"/>
      <c r="FJ82" s="239"/>
      <c r="FK82" s="239"/>
      <c r="FL82" s="239"/>
      <c r="FM82" s="239"/>
      <c r="FN82" s="239"/>
      <c r="FO82" s="239"/>
      <c r="FP82" s="239"/>
      <c r="FQ82" s="239"/>
      <c r="FR82" s="239"/>
      <c r="FS82" s="239"/>
      <c r="FT82" s="239"/>
      <c r="FU82" s="239"/>
      <c r="FV82" s="239"/>
      <c r="FW82" s="239"/>
    </row>
    <row r="83" spans="1:179" s="236" customFormat="1" ht="18">
      <c r="A83" s="260">
        <v>0.1</v>
      </c>
      <c r="B83" s="275">
        <v>23.5</v>
      </c>
      <c r="C83" s="275">
        <v>48</v>
      </c>
      <c r="D83" s="275">
        <v>65</v>
      </c>
      <c r="E83" s="275">
        <v>96</v>
      </c>
      <c r="F83" s="275">
        <v>130</v>
      </c>
      <c r="G83" s="275">
        <v>170</v>
      </c>
      <c r="H83" s="275">
        <v>230</v>
      </c>
      <c r="I83" s="275">
        <v>285</v>
      </c>
      <c r="J83" s="275">
        <v>365</v>
      </c>
      <c r="K83" s="275">
        <v>480</v>
      </c>
      <c r="L83" s="275">
        <v>600</v>
      </c>
      <c r="M83" s="275">
        <v>760</v>
      </c>
      <c r="N83" s="275">
        <v>960</v>
      </c>
      <c r="O83" s="275">
        <v>1250</v>
      </c>
      <c r="P83" s="275">
        <v>1600</v>
      </c>
      <c r="Q83" s="275">
        <v>2100</v>
      </c>
      <c r="R83" s="275">
        <v>3400</v>
      </c>
      <c r="S83" s="275">
        <v>5600</v>
      </c>
      <c r="T83" s="260"/>
      <c r="V83" s="266">
        <v>0.1</v>
      </c>
      <c r="W83" s="268">
        <v>105</v>
      </c>
      <c r="X83" s="268">
        <v>170</v>
      </c>
      <c r="Y83" s="268">
        <v>240</v>
      </c>
      <c r="Z83" s="268">
        <v>390</v>
      </c>
      <c r="AA83" s="268">
        <v>420</v>
      </c>
      <c r="AB83" s="268">
        <v>545</v>
      </c>
      <c r="AC83" s="268">
        <v>720</v>
      </c>
      <c r="AD83" s="268">
        <v>900</v>
      </c>
      <c r="AE83" s="268">
        <v>1150</v>
      </c>
      <c r="AF83" s="268">
        <v>1450</v>
      </c>
      <c r="AG83" s="268">
        <v>1800</v>
      </c>
      <c r="AH83" s="268">
        <v>2300</v>
      </c>
      <c r="AI83" s="268">
        <v>3000</v>
      </c>
      <c r="AJ83" s="268">
        <v>3800</v>
      </c>
      <c r="AK83" s="268">
        <v>4800</v>
      </c>
      <c r="AL83" s="254"/>
      <c r="AN83" s="239"/>
      <c r="AO83" s="239"/>
      <c r="AP83" s="239"/>
      <c r="AQ83" s="239"/>
      <c r="AR83" s="239"/>
      <c r="AS83" s="239"/>
      <c r="AT83" s="239"/>
      <c r="AU83" s="239"/>
      <c r="AV83" s="239"/>
      <c r="AW83" s="239"/>
      <c r="AX83" s="239"/>
      <c r="AY83" s="239"/>
      <c r="AZ83" s="239"/>
      <c r="BA83" s="239"/>
      <c r="BB83" s="239"/>
      <c r="BC83" s="239"/>
      <c r="BD83" s="239"/>
      <c r="BE83" s="239"/>
      <c r="BF83" s="239"/>
      <c r="BG83" s="239"/>
      <c r="BH83" s="239"/>
      <c r="BI83" s="239"/>
      <c r="BJ83" s="239"/>
      <c r="BK83" s="239"/>
      <c r="BL83" s="239"/>
      <c r="BM83" s="239"/>
      <c r="BN83" s="239"/>
      <c r="BO83" s="239"/>
      <c r="BP83" s="239"/>
      <c r="BQ83" s="239"/>
      <c r="BR83" s="239"/>
      <c r="BS83" s="239"/>
      <c r="BT83" s="239"/>
      <c r="BU83" s="239"/>
      <c r="BV83" s="239"/>
      <c r="BW83" s="239"/>
      <c r="BX83" s="239"/>
      <c r="BY83" s="239"/>
      <c r="BZ83" s="239"/>
      <c r="CA83" s="239"/>
      <c r="CB83" s="239"/>
      <c r="CC83" s="239"/>
      <c r="CD83" s="239"/>
      <c r="CE83" s="239"/>
      <c r="CF83" s="239"/>
      <c r="CG83" s="239"/>
      <c r="CH83" s="239"/>
      <c r="CI83" s="239"/>
      <c r="CJ83" s="239"/>
      <c r="CK83" s="239"/>
      <c r="CL83" s="239"/>
      <c r="CM83" s="239"/>
      <c r="CN83" s="239"/>
      <c r="CO83" s="239"/>
      <c r="CP83" s="239"/>
      <c r="CQ83" s="239"/>
      <c r="CR83" s="239"/>
      <c r="CS83" s="239"/>
      <c r="CT83" s="239"/>
      <c r="CU83" s="239"/>
      <c r="CV83" s="239"/>
      <c r="CW83" s="239"/>
      <c r="CX83" s="239"/>
      <c r="CY83" s="239"/>
      <c r="CZ83" s="239"/>
      <c r="DA83" s="239"/>
      <c r="DB83" s="239"/>
      <c r="DC83" s="239"/>
      <c r="DD83" s="239"/>
      <c r="DE83" s="239"/>
      <c r="DF83" s="239"/>
      <c r="DG83" s="239"/>
      <c r="DH83" s="239"/>
      <c r="DI83" s="239"/>
      <c r="DJ83" s="239"/>
      <c r="DK83" s="239"/>
      <c r="DL83" s="239"/>
      <c r="DM83" s="239"/>
      <c r="DN83" s="239"/>
      <c r="DO83" s="239"/>
      <c r="DP83" s="239"/>
      <c r="DQ83" s="239"/>
      <c r="DR83" s="239"/>
      <c r="DS83" s="239"/>
      <c r="DT83" s="239"/>
      <c r="DU83" s="239"/>
      <c r="DV83" s="239"/>
      <c r="DW83" s="239"/>
      <c r="DX83" s="239"/>
      <c r="DY83" s="239"/>
      <c r="DZ83" s="239"/>
      <c r="EA83" s="239"/>
      <c r="EB83" s="239"/>
      <c r="EC83" s="239"/>
      <c r="ED83" s="239"/>
      <c r="EE83" s="239"/>
      <c r="EF83" s="239"/>
      <c r="EG83" s="239"/>
      <c r="EH83" s="239"/>
      <c r="EI83" s="239"/>
      <c r="EJ83" s="239"/>
      <c r="EK83" s="239"/>
      <c r="EL83" s="239"/>
      <c r="EM83" s="239"/>
      <c r="EN83" s="239"/>
      <c r="EO83" s="239"/>
      <c r="EP83" s="239"/>
      <c r="EQ83" s="239"/>
      <c r="ER83" s="239"/>
      <c r="ES83" s="239"/>
      <c r="ET83" s="239"/>
      <c r="EU83" s="239"/>
      <c r="EV83" s="239"/>
      <c r="EW83" s="239"/>
      <c r="EX83" s="239"/>
      <c r="EY83" s="239"/>
      <c r="EZ83" s="239"/>
      <c r="FA83" s="239"/>
      <c r="FB83" s="239"/>
      <c r="FC83" s="239"/>
      <c r="FD83" s="239"/>
      <c r="FE83" s="239"/>
      <c r="FF83" s="239"/>
      <c r="FG83" s="239"/>
      <c r="FH83" s="239"/>
      <c r="FI83" s="239"/>
      <c r="FJ83" s="239"/>
      <c r="FK83" s="239"/>
      <c r="FL83" s="239"/>
      <c r="FM83" s="239"/>
      <c r="FN83" s="239"/>
      <c r="FO83" s="239"/>
      <c r="FP83" s="239"/>
      <c r="FQ83" s="239"/>
      <c r="FR83" s="239"/>
      <c r="FS83" s="239"/>
      <c r="FT83" s="239"/>
      <c r="FU83" s="239"/>
      <c r="FV83" s="239"/>
      <c r="FW83" s="239"/>
    </row>
    <row r="84" spans="1:179" s="236" customFormat="1" ht="18">
      <c r="A84" s="260">
        <v>0.09</v>
      </c>
      <c r="B84" s="275">
        <v>25.5</v>
      </c>
      <c r="C84" s="275">
        <v>52</v>
      </c>
      <c r="D84" s="275">
        <v>70</v>
      </c>
      <c r="E84" s="275">
        <v>102</v>
      </c>
      <c r="F84" s="275">
        <v>140</v>
      </c>
      <c r="G84" s="275">
        <v>183</v>
      </c>
      <c r="H84" s="275">
        <v>250</v>
      </c>
      <c r="I84" s="275">
        <v>305</v>
      </c>
      <c r="J84" s="275">
        <v>390</v>
      </c>
      <c r="K84" s="275">
        <v>510</v>
      </c>
      <c r="L84" s="275">
        <v>630</v>
      </c>
      <c r="M84" s="275">
        <v>820</v>
      </c>
      <c r="N84" s="275">
        <v>1030</v>
      </c>
      <c r="O84" s="275">
        <v>1330</v>
      </c>
      <c r="P84" s="275">
        <v>1700</v>
      </c>
      <c r="Q84" s="275">
        <v>2200</v>
      </c>
      <c r="R84" s="275">
        <v>3700</v>
      </c>
      <c r="S84" s="275">
        <v>5900</v>
      </c>
      <c r="T84" s="260"/>
      <c r="V84" s="266">
        <v>0.08</v>
      </c>
      <c r="W84" s="268">
        <v>122</v>
      </c>
      <c r="X84" s="268">
        <v>193</v>
      </c>
      <c r="Y84" s="268">
        <v>270</v>
      </c>
      <c r="Z84" s="268">
        <v>440</v>
      </c>
      <c r="AA84" s="268">
        <v>490</v>
      </c>
      <c r="AB84" s="268">
        <v>630</v>
      </c>
      <c r="AC84" s="268">
        <v>820</v>
      </c>
      <c r="AD84" s="268">
        <v>1040</v>
      </c>
      <c r="AE84" s="268">
        <v>1300</v>
      </c>
      <c r="AF84" s="268">
        <v>1680</v>
      </c>
      <c r="AG84" s="268">
        <v>2000</v>
      </c>
      <c r="AH84" s="268">
        <v>2700</v>
      </c>
      <c r="AI84" s="268">
        <v>3400</v>
      </c>
      <c r="AJ84" s="268">
        <v>4300</v>
      </c>
      <c r="AK84" s="268">
        <v>5500</v>
      </c>
      <c r="AL84" s="254"/>
      <c r="AN84" s="239"/>
      <c r="AO84" s="239"/>
      <c r="AP84" s="239"/>
      <c r="AQ84" s="239"/>
      <c r="AR84" s="239"/>
      <c r="AS84" s="239"/>
      <c r="AT84" s="239"/>
      <c r="AU84" s="239"/>
      <c r="AV84" s="239"/>
      <c r="AW84" s="239"/>
      <c r="AX84" s="239"/>
      <c r="AY84" s="239"/>
      <c r="AZ84" s="239"/>
      <c r="BA84" s="239"/>
      <c r="BB84" s="239"/>
      <c r="BC84" s="239"/>
      <c r="BD84" s="239"/>
      <c r="BE84" s="239"/>
      <c r="BF84" s="239"/>
      <c r="BG84" s="239"/>
      <c r="BH84" s="239"/>
      <c r="BI84" s="239"/>
      <c r="BJ84" s="239"/>
      <c r="BK84" s="239"/>
      <c r="BL84" s="239"/>
      <c r="BM84" s="239"/>
      <c r="BN84" s="239"/>
      <c r="BO84" s="239"/>
      <c r="BP84" s="239"/>
      <c r="BQ84" s="239"/>
      <c r="BR84" s="239"/>
      <c r="BS84" s="239"/>
      <c r="BT84" s="239"/>
      <c r="BU84" s="239"/>
      <c r="BV84" s="239"/>
      <c r="BW84" s="239"/>
      <c r="BX84" s="239"/>
      <c r="BY84" s="239"/>
      <c r="BZ84" s="239"/>
      <c r="CA84" s="239"/>
      <c r="CB84" s="239"/>
      <c r="CC84" s="239"/>
      <c r="CD84" s="239"/>
      <c r="CE84" s="239"/>
      <c r="CF84" s="239"/>
      <c r="CG84" s="239"/>
      <c r="CH84" s="239"/>
      <c r="CI84" s="239"/>
      <c r="CJ84" s="239"/>
      <c r="CK84" s="239"/>
      <c r="CL84" s="239"/>
      <c r="CM84" s="239"/>
      <c r="CN84" s="239"/>
      <c r="CO84" s="239"/>
      <c r="CP84" s="239"/>
      <c r="CQ84" s="239"/>
      <c r="CR84" s="239"/>
      <c r="CS84" s="239"/>
      <c r="CT84" s="239"/>
      <c r="CU84" s="239"/>
      <c r="CV84" s="239"/>
      <c r="CW84" s="239"/>
      <c r="CX84" s="239"/>
      <c r="CY84" s="239"/>
      <c r="CZ84" s="239"/>
      <c r="DA84" s="239"/>
      <c r="DB84" s="239"/>
      <c r="DC84" s="239"/>
      <c r="DD84" s="239"/>
      <c r="DE84" s="239"/>
      <c r="DF84" s="239"/>
      <c r="DG84" s="239"/>
      <c r="DH84" s="239"/>
      <c r="DI84" s="239"/>
      <c r="DJ84" s="239"/>
      <c r="DK84" s="239"/>
      <c r="DL84" s="239"/>
      <c r="DM84" s="239"/>
      <c r="DN84" s="239"/>
      <c r="DO84" s="239"/>
      <c r="DP84" s="239"/>
      <c r="DQ84" s="239"/>
      <c r="DR84" s="239"/>
      <c r="DS84" s="239"/>
      <c r="DT84" s="239"/>
      <c r="DU84" s="239"/>
      <c r="DV84" s="239"/>
      <c r="DW84" s="239"/>
      <c r="DX84" s="239"/>
      <c r="DY84" s="239"/>
      <c r="DZ84" s="239"/>
      <c r="EA84" s="239"/>
      <c r="EB84" s="239"/>
      <c r="EC84" s="239"/>
      <c r="ED84" s="239"/>
      <c r="EE84" s="239"/>
      <c r="EF84" s="239"/>
      <c r="EG84" s="239"/>
      <c r="EH84" s="239"/>
      <c r="EI84" s="239"/>
      <c r="EJ84" s="239"/>
      <c r="EK84" s="239"/>
      <c r="EL84" s="239"/>
      <c r="EM84" s="239"/>
      <c r="EN84" s="239"/>
      <c r="EO84" s="239"/>
      <c r="EP84" s="239"/>
      <c r="EQ84" s="239"/>
      <c r="ER84" s="239"/>
      <c r="ES84" s="239"/>
      <c r="ET84" s="239"/>
      <c r="EU84" s="239"/>
      <c r="EV84" s="239"/>
      <c r="EW84" s="239"/>
      <c r="EX84" s="239"/>
      <c r="EY84" s="239"/>
      <c r="EZ84" s="239"/>
      <c r="FA84" s="239"/>
      <c r="FB84" s="239"/>
      <c r="FC84" s="239"/>
      <c r="FD84" s="239"/>
      <c r="FE84" s="239"/>
      <c r="FF84" s="239"/>
      <c r="FG84" s="239"/>
      <c r="FH84" s="239"/>
      <c r="FI84" s="239"/>
      <c r="FJ84" s="239"/>
      <c r="FK84" s="239"/>
      <c r="FL84" s="239"/>
      <c r="FM84" s="239"/>
      <c r="FN84" s="239"/>
      <c r="FO84" s="239"/>
      <c r="FP84" s="239"/>
      <c r="FQ84" s="239"/>
      <c r="FR84" s="239"/>
      <c r="FS84" s="239"/>
      <c r="FT84" s="239"/>
      <c r="FU84" s="239"/>
      <c r="FV84" s="239"/>
      <c r="FW84" s="239"/>
    </row>
    <row r="85" spans="1:179" s="236" customFormat="1" ht="18">
      <c r="A85" s="260">
        <v>0.08</v>
      </c>
      <c r="B85" s="275">
        <v>28</v>
      </c>
      <c r="C85" s="275">
        <v>57</v>
      </c>
      <c r="D85" s="275">
        <v>77</v>
      </c>
      <c r="E85" s="275">
        <v>110</v>
      </c>
      <c r="F85" s="275">
        <v>150</v>
      </c>
      <c r="G85" s="275">
        <v>200</v>
      </c>
      <c r="H85" s="275">
        <v>270</v>
      </c>
      <c r="I85" s="275">
        <v>330</v>
      </c>
      <c r="J85" s="275">
        <v>420</v>
      </c>
      <c r="K85" s="275">
        <v>530</v>
      </c>
      <c r="L85" s="275">
        <v>690</v>
      </c>
      <c r="M85" s="275">
        <v>900</v>
      </c>
      <c r="N85" s="275">
        <v>1100</v>
      </c>
      <c r="O85" s="275">
        <v>1430</v>
      </c>
      <c r="P85" s="275">
        <v>1810</v>
      </c>
      <c r="Q85" s="275">
        <v>2380</v>
      </c>
      <c r="R85" s="275">
        <v>4000</v>
      </c>
      <c r="S85" s="275">
        <v>6400</v>
      </c>
      <c r="T85" s="260"/>
      <c r="V85" s="266">
        <v>0.06</v>
      </c>
      <c r="W85" s="268">
        <v>150</v>
      </c>
      <c r="X85" s="268">
        <v>235</v>
      </c>
      <c r="Y85" s="268">
        <v>330</v>
      </c>
      <c r="Z85" s="268">
        <v>520</v>
      </c>
      <c r="AA85" s="268">
        <v>590</v>
      </c>
      <c r="AB85" s="268">
        <v>760</v>
      </c>
      <c r="AC85" s="268">
        <v>985</v>
      </c>
      <c r="AD85" s="268">
        <v>1250</v>
      </c>
      <c r="AE85" s="268">
        <v>1550</v>
      </c>
      <c r="AF85" s="268">
        <v>2050</v>
      </c>
      <c r="AG85" s="268">
        <v>2450</v>
      </c>
      <c r="AH85" s="268">
        <v>3200</v>
      </c>
      <c r="AI85" s="268">
        <v>4000</v>
      </c>
      <c r="AJ85" s="268">
        <v>5100</v>
      </c>
      <c r="AK85" s="268">
        <v>6600</v>
      </c>
      <c r="AL85" s="254"/>
      <c r="AN85" s="239"/>
      <c r="AO85" s="239"/>
      <c r="AP85" s="239"/>
      <c r="AQ85" s="239"/>
      <c r="AR85" s="239"/>
      <c r="AS85" s="239"/>
      <c r="AT85" s="239"/>
      <c r="AU85" s="239"/>
      <c r="AV85" s="239"/>
      <c r="AW85" s="239"/>
      <c r="AX85" s="239"/>
      <c r="AY85" s="239"/>
      <c r="AZ85" s="239"/>
      <c r="BA85" s="239"/>
      <c r="BB85" s="239"/>
      <c r="BC85" s="239"/>
      <c r="BD85" s="239"/>
      <c r="BE85" s="239"/>
      <c r="BF85" s="239"/>
      <c r="BG85" s="239"/>
      <c r="BH85" s="239"/>
      <c r="BI85" s="239"/>
      <c r="BJ85" s="239"/>
      <c r="BK85" s="239"/>
      <c r="BL85" s="239"/>
      <c r="BM85" s="239"/>
      <c r="BN85" s="239"/>
      <c r="BO85" s="239"/>
      <c r="BP85" s="239"/>
      <c r="BQ85" s="239"/>
      <c r="BR85" s="239"/>
      <c r="BS85" s="239"/>
      <c r="BT85" s="239"/>
      <c r="BU85" s="239"/>
      <c r="BV85" s="239"/>
      <c r="BW85" s="239"/>
      <c r="BX85" s="239"/>
      <c r="BY85" s="239"/>
      <c r="BZ85" s="239"/>
      <c r="CA85" s="239"/>
      <c r="CB85" s="239"/>
      <c r="CC85" s="239"/>
      <c r="CD85" s="239"/>
      <c r="CE85" s="239"/>
      <c r="CF85" s="239"/>
      <c r="CG85" s="239"/>
      <c r="CH85" s="239"/>
      <c r="CI85" s="239"/>
      <c r="CJ85" s="239"/>
      <c r="CK85" s="239"/>
      <c r="CL85" s="239"/>
      <c r="CM85" s="239"/>
      <c r="CN85" s="239"/>
      <c r="CO85" s="239"/>
      <c r="CP85" s="239"/>
      <c r="CQ85" s="239"/>
      <c r="CR85" s="239"/>
      <c r="CS85" s="239"/>
      <c r="CT85" s="239"/>
      <c r="CU85" s="239"/>
      <c r="CV85" s="239"/>
      <c r="CW85" s="239"/>
      <c r="CX85" s="239"/>
      <c r="CY85" s="239"/>
      <c r="CZ85" s="239"/>
      <c r="DA85" s="239"/>
      <c r="DB85" s="239"/>
      <c r="DC85" s="239"/>
      <c r="DD85" s="239"/>
      <c r="DE85" s="239"/>
      <c r="DF85" s="239"/>
      <c r="DG85" s="239"/>
      <c r="DH85" s="239"/>
      <c r="DI85" s="239"/>
      <c r="DJ85" s="239"/>
      <c r="DK85" s="239"/>
      <c r="DL85" s="239"/>
      <c r="DM85" s="239"/>
      <c r="DN85" s="239"/>
      <c r="DO85" s="239"/>
      <c r="DP85" s="239"/>
      <c r="DQ85" s="239"/>
      <c r="DR85" s="239"/>
      <c r="DS85" s="239"/>
      <c r="DT85" s="239"/>
      <c r="DU85" s="239"/>
      <c r="DV85" s="239"/>
      <c r="DW85" s="239"/>
      <c r="DX85" s="239"/>
      <c r="DY85" s="239"/>
      <c r="DZ85" s="239"/>
      <c r="EA85" s="239"/>
      <c r="EB85" s="239"/>
      <c r="EC85" s="239"/>
      <c r="ED85" s="239"/>
      <c r="EE85" s="239"/>
      <c r="EF85" s="239"/>
      <c r="EG85" s="239"/>
      <c r="EH85" s="239"/>
      <c r="EI85" s="239"/>
      <c r="EJ85" s="239"/>
      <c r="EK85" s="239"/>
      <c r="EL85" s="239"/>
      <c r="EM85" s="239"/>
      <c r="EN85" s="239"/>
      <c r="EO85" s="239"/>
      <c r="EP85" s="239"/>
      <c r="EQ85" s="239"/>
      <c r="ER85" s="239"/>
      <c r="ES85" s="239"/>
      <c r="ET85" s="239"/>
      <c r="EU85" s="239"/>
      <c r="EV85" s="239"/>
      <c r="EW85" s="239"/>
      <c r="EX85" s="239"/>
      <c r="EY85" s="239"/>
      <c r="EZ85" s="239"/>
      <c r="FA85" s="239"/>
      <c r="FB85" s="239"/>
      <c r="FC85" s="239"/>
      <c r="FD85" s="239"/>
      <c r="FE85" s="239"/>
      <c r="FF85" s="239"/>
      <c r="FG85" s="239"/>
      <c r="FH85" s="239"/>
      <c r="FI85" s="239"/>
      <c r="FJ85" s="239"/>
      <c r="FK85" s="239"/>
      <c r="FL85" s="239"/>
      <c r="FM85" s="239"/>
      <c r="FN85" s="239"/>
      <c r="FO85" s="239"/>
      <c r="FP85" s="239"/>
      <c r="FQ85" s="239"/>
      <c r="FR85" s="239"/>
      <c r="FS85" s="239"/>
      <c r="FT85" s="239"/>
      <c r="FU85" s="239"/>
      <c r="FV85" s="239"/>
      <c r="FW85" s="239"/>
    </row>
    <row r="86" spans="1:179" s="236" customFormat="1" ht="18">
      <c r="A86" s="260">
        <v>7.0000000000000007E-2</v>
      </c>
      <c r="B86" s="275">
        <v>31.5</v>
      </c>
      <c r="C86" s="275">
        <v>62</v>
      </c>
      <c r="D86" s="275">
        <v>85</v>
      </c>
      <c r="E86" s="275">
        <v>122</v>
      </c>
      <c r="F86" s="275">
        <v>163</v>
      </c>
      <c r="G86" s="275">
        <v>218</v>
      </c>
      <c r="H86" s="275">
        <v>300</v>
      </c>
      <c r="I86" s="275">
        <v>360</v>
      </c>
      <c r="J86" s="275">
        <v>460</v>
      </c>
      <c r="K86" s="275">
        <v>600</v>
      </c>
      <c r="L86" s="275">
        <v>750</v>
      </c>
      <c r="M86" s="275">
        <v>1000</v>
      </c>
      <c r="N86" s="275">
        <v>1210</v>
      </c>
      <c r="O86" s="275">
        <v>1580</v>
      </c>
      <c r="P86" s="275">
        <v>1960</v>
      </c>
      <c r="Q86" s="275">
        <v>2600</v>
      </c>
      <c r="R86" s="275">
        <v>4300</v>
      </c>
      <c r="S86" s="275">
        <v>7000</v>
      </c>
      <c r="T86" s="260"/>
      <c r="V86" s="266">
        <v>0.04</v>
      </c>
      <c r="W86" s="268">
        <v>220</v>
      </c>
      <c r="X86" s="268">
        <v>315</v>
      </c>
      <c r="Y86" s="268">
        <v>440</v>
      </c>
      <c r="Z86" s="268">
        <v>680</v>
      </c>
      <c r="AA86" s="268">
        <v>760</v>
      </c>
      <c r="AB86" s="268">
        <v>1000</v>
      </c>
      <c r="AC86" s="268">
        <v>1300</v>
      </c>
      <c r="AD86" s="268">
        <v>1700</v>
      </c>
      <c r="AE86" s="268">
        <v>2050</v>
      </c>
      <c r="AF86" s="268">
        <v>2800</v>
      </c>
      <c r="AG86" s="268">
        <v>3300</v>
      </c>
      <c r="AH86" s="268">
        <v>4300</v>
      </c>
      <c r="AI86" s="268">
        <v>5600</v>
      </c>
      <c r="AJ86" s="268">
        <v>6900</v>
      </c>
      <c r="AK86" s="268">
        <v>8800</v>
      </c>
      <c r="AL86" s="254"/>
      <c r="AN86" s="239"/>
      <c r="AO86" s="239"/>
      <c r="AP86" s="239"/>
      <c r="AQ86" s="239"/>
      <c r="AR86" s="239"/>
      <c r="AS86" s="239"/>
      <c r="AT86" s="239"/>
      <c r="AU86" s="239"/>
      <c r="AV86" s="239"/>
      <c r="AW86" s="239"/>
      <c r="AX86" s="239"/>
      <c r="AY86" s="239"/>
      <c r="AZ86" s="239"/>
      <c r="BA86" s="239"/>
      <c r="BB86" s="239"/>
      <c r="BC86" s="239"/>
      <c r="BD86" s="239"/>
      <c r="BE86" s="239"/>
      <c r="BF86" s="239"/>
      <c r="BG86" s="239"/>
      <c r="BH86" s="239"/>
      <c r="BI86" s="239"/>
      <c r="BJ86" s="239"/>
      <c r="BK86" s="239"/>
      <c r="BL86" s="239"/>
      <c r="BM86" s="239"/>
      <c r="BN86" s="239"/>
      <c r="BO86" s="239"/>
      <c r="BP86" s="239"/>
      <c r="BQ86" s="239"/>
      <c r="BR86" s="239"/>
      <c r="BS86" s="239"/>
      <c r="BT86" s="239"/>
      <c r="BU86" s="239"/>
      <c r="BV86" s="239"/>
      <c r="BW86" s="239"/>
      <c r="BX86" s="239"/>
      <c r="BY86" s="239"/>
      <c r="BZ86" s="239"/>
      <c r="CA86" s="239"/>
      <c r="CB86" s="239"/>
      <c r="CC86" s="239"/>
      <c r="CD86" s="239"/>
      <c r="CE86" s="239"/>
      <c r="CF86" s="239"/>
      <c r="CG86" s="239"/>
      <c r="CH86" s="239"/>
      <c r="CI86" s="239"/>
      <c r="CJ86" s="239"/>
      <c r="CK86" s="239"/>
      <c r="CL86" s="239"/>
      <c r="CM86" s="239"/>
      <c r="CN86" s="239"/>
      <c r="CO86" s="239"/>
      <c r="CP86" s="239"/>
      <c r="CQ86" s="239"/>
      <c r="CR86" s="239"/>
      <c r="CS86" s="239"/>
      <c r="CT86" s="239"/>
      <c r="CU86" s="239"/>
      <c r="CV86" s="239"/>
      <c r="CW86" s="239"/>
      <c r="CX86" s="239"/>
      <c r="CY86" s="239"/>
      <c r="CZ86" s="239"/>
      <c r="DA86" s="239"/>
      <c r="DB86" s="239"/>
      <c r="DC86" s="239"/>
      <c r="DD86" s="239"/>
      <c r="DE86" s="239"/>
      <c r="DF86" s="239"/>
      <c r="DG86" s="239"/>
      <c r="DH86" s="239"/>
      <c r="DI86" s="239"/>
      <c r="DJ86" s="239"/>
      <c r="DK86" s="239"/>
      <c r="DL86" s="239"/>
      <c r="DM86" s="239"/>
      <c r="DN86" s="239"/>
      <c r="DO86" s="239"/>
      <c r="DP86" s="239"/>
      <c r="DQ86" s="239"/>
      <c r="DR86" s="239"/>
      <c r="DS86" s="239"/>
      <c r="DT86" s="239"/>
      <c r="DU86" s="239"/>
      <c r="DV86" s="239"/>
      <c r="DW86" s="239"/>
      <c r="DX86" s="239"/>
      <c r="DY86" s="239"/>
      <c r="DZ86" s="239"/>
      <c r="EA86" s="239"/>
      <c r="EB86" s="239"/>
      <c r="EC86" s="239"/>
      <c r="ED86" s="239"/>
      <c r="EE86" s="239"/>
      <c r="EF86" s="239"/>
      <c r="EG86" s="239"/>
      <c r="EH86" s="239"/>
      <c r="EI86" s="239"/>
      <c r="EJ86" s="239"/>
      <c r="EK86" s="239"/>
      <c r="EL86" s="239"/>
      <c r="EM86" s="239"/>
      <c r="EN86" s="239"/>
      <c r="EO86" s="239"/>
      <c r="EP86" s="239"/>
      <c r="EQ86" s="239"/>
      <c r="ER86" s="239"/>
      <c r="ES86" s="239"/>
      <c r="ET86" s="239"/>
      <c r="EU86" s="239"/>
      <c r="EV86" s="239"/>
      <c r="EW86" s="239"/>
      <c r="EX86" s="239"/>
      <c r="EY86" s="239"/>
      <c r="EZ86" s="239"/>
      <c r="FA86" s="239"/>
      <c r="FB86" s="239"/>
      <c r="FC86" s="239"/>
      <c r="FD86" s="239"/>
      <c r="FE86" s="239"/>
      <c r="FF86" s="239"/>
      <c r="FG86" s="239"/>
      <c r="FH86" s="239"/>
      <c r="FI86" s="239"/>
      <c r="FJ86" s="239"/>
      <c r="FK86" s="239"/>
      <c r="FL86" s="239"/>
      <c r="FM86" s="239"/>
      <c r="FN86" s="239"/>
      <c r="FO86" s="239"/>
      <c r="FP86" s="239"/>
      <c r="FQ86" s="239"/>
      <c r="FR86" s="239"/>
      <c r="FS86" s="239"/>
      <c r="FT86" s="239"/>
      <c r="FU86" s="239"/>
      <c r="FV86" s="239"/>
      <c r="FW86" s="239"/>
    </row>
    <row r="87" spans="1:179" s="236" customFormat="1" ht="18">
      <c r="A87" s="260">
        <v>0.06</v>
      </c>
      <c r="B87" s="275">
        <v>35.5</v>
      </c>
      <c r="C87" s="275">
        <v>70</v>
      </c>
      <c r="D87" s="275">
        <v>94</v>
      </c>
      <c r="E87" s="275">
        <v>135</v>
      </c>
      <c r="F87" s="275">
        <v>181</v>
      </c>
      <c r="G87" s="275">
        <v>240</v>
      </c>
      <c r="H87" s="275">
        <v>345</v>
      </c>
      <c r="I87" s="275">
        <v>400</v>
      </c>
      <c r="J87" s="275">
        <v>510</v>
      </c>
      <c r="K87" s="275">
        <v>680</v>
      </c>
      <c r="L87" s="275">
        <v>840</v>
      </c>
      <c r="M87" s="275">
        <v>1090</v>
      </c>
      <c r="N87" s="275">
        <v>1320</v>
      </c>
      <c r="O87" s="275">
        <v>1750</v>
      </c>
      <c r="P87" s="275">
        <v>2200</v>
      </c>
      <c r="Q87" s="275">
        <v>2900</v>
      </c>
      <c r="R87" s="275">
        <v>4800</v>
      </c>
      <c r="S87" s="275">
        <v>7600</v>
      </c>
      <c r="T87" s="260"/>
      <c r="V87" s="266">
        <v>0.03</v>
      </c>
      <c r="W87" s="265">
        <v>300</v>
      </c>
      <c r="X87" s="265">
        <v>400</v>
      </c>
      <c r="Y87" s="265">
        <v>570</v>
      </c>
      <c r="Z87" s="265">
        <v>860</v>
      </c>
      <c r="AA87" s="265">
        <v>940</v>
      </c>
      <c r="AB87" s="268">
        <v>1300</v>
      </c>
      <c r="AC87" s="268">
        <v>1700</v>
      </c>
      <c r="AD87" s="268">
        <v>2250</v>
      </c>
      <c r="AE87" s="268">
        <v>2650</v>
      </c>
      <c r="AF87" s="268">
        <v>3700</v>
      </c>
      <c r="AG87" s="268">
        <v>4300</v>
      </c>
      <c r="AH87" s="268">
        <v>5700</v>
      </c>
      <c r="AI87" s="268">
        <v>7300</v>
      </c>
      <c r="AJ87" s="268">
        <v>9000</v>
      </c>
      <c r="AK87" s="265">
        <v>10000</v>
      </c>
      <c r="AL87" s="254"/>
      <c r="AN87" s="239"/>
      <c r="AO87" s="239"/>
      <c r="AP87" s="239"/>
      <c r="AQ87" s="239"/>
      <c r="AR87" s="239"/>
      <c r="AS87" s="239"/>
      <c r="AT87" s="239"/>
      <c r="AU87" s="239"/>
      <c r="AV87" s="239"/>
      <c r="AW87" s="239"/>
      <c r="AX87" s="239"/>
      <c r="AY87" s="239"/>
      <c r="AZ87" s="239"/>
      <c r="BA87" s="239"/>
      <c r="BB87" s="239"/>
      <c r="BC87" s="239"/>
      <c r="BD87" s="239"/>
      <c r="BE87" s="239"/>
      <c r="BF87" s="239"/>
      <c r="BG87" s="239"/>
      <c r="BH87" s="239"/>
      <c r="BI87" s="239"/>
      <c r="BJ87" s="239"/>
      <c r="BK87" s="239"/>
      <c r="BL87" s="239"/>
      <c r="BM87" s="239"/>
      <c r="BN87" s="239"/>
      <c r="BO87" s="239"/>
      <c r="BP87" s="239"/>
      <c r="BQ87" s="239"/>
      <c r="BR87" s="239"/>
      <c r="BS87" s="239"/>
      <c r="BT87" s="239"/>
      <c r="BU87" s="239"/>
      <c r="BV87" s="239"/>
      <c r="BW87" s="239"/>
      <c r="BX87" s="239"/>
      <c r="BY87" s="239"/>
      <c r="BZ87" s="239"/>
      <c r="CA87" s="239"/>
      <c r="CB87" s="239"/>
      <c r="CC87" s="239"/>
      <c r="CD87" s="239"/>
      <c r="CE87" s="239"/>
      <c r="CF87" s="239"/>
      <c r="CG87" s="239"/>
      <c r="CH87" s="239"/>
      <c r="CI87" s="239"/>
      <c r="CJ87" s="239"/>
      <c r="CK87" s="239"/>
      <c r="CL87" s="239"/>
      <c r="CM87" s="239"/>
      <c r="CN87" s="239"/>
      <c r="CO87" s="239"/>
      <c r="CP87" s="239"/>
      <c r="CQ87" s="239"/>
      <c r="CR87" s="239"/>
      <c r="CS87" s="239"/>
      <c r="CT87" s="239"/>
      <c r="CU87" s="239"/>
      <c r="CV87" s="239"/>
      <c r="CW87" s="239"/>
      <c r="CX87" s="239"/>
      <c r="CY87" s="239"/>
      <c r="CZ87" s="239"/>
      <c r="DA87" s="239"/>
      <c r="DB87" s="239"/>
      <c r="DC87" s="239"/>
      <c r="DD87" s="239"/>
      <c r="DE87" s="239"/>
      <c r="DF87" s="239"/>
      <c r="DG87" s="239"/>
      <c r="DH87" s="239"/>
      <c r="DI87" s="239"/>
      <c r="DJ87" s="239"/>
      <c r="DK87" s="239"/>
      <c r="DL87" s="239"/>
      <c r="DM87" s="239"/>
      <c r="DN87" s="239"/>
      <c r="DO87" s="239"/>
      <c r="DP87" s="239"/>
      <c r="DQ87" s="239"/>
      <c r="DR87" s="239"/>
      <c r="DS87" s="239"/>
      <c r="DT87" s="239"/>
      <c r="DU87" s="239"/>
      <c r="DV87" s="239"/>
      <c r="DW87" s="239"/>
      <c r="DX87" s="239"/>
      <c r="DY87" s="239"/>
      <c r="DZ87" s="239"/>
      <c r="EA87" s="239"/>
      <c r="EB87" s="239"/>
      <c r="EC87" s="239"/>
      <c r="ED87" s="239"/>
      <c r="EE87" s="239"/>
      <c r="EF87" s="239"/>
      <c r="EG87" s="239"/>
      <c r="EH87" s="239"/>
      <c r="EI87" s="239"/>
      <c r="EJ87" s="239"/>
      <c r="EK87" s="239"/>
      <c r="EL87" s="239"/>
      <c r="EM87" s="239"/>
      <c r="EN87" s="239"/>
      <c r="EO87" s="239"/>
      <c r="EP87" s="239"/>
      <c r="EQ87" s="239"/>
      <c r="ER87" s="239"/>
      <c r="ES87" s="239"/>
      <c r="ET87" s="239"/>
      <c r="EU87" s="239"/>
      <c r="EV87" s="239"/>
      <c r="EW87" s="239"/>
      <c r="EX87" s="239"/>
      <c r="EY87" s="239"/>
      <c r="EZ87" s="239"/>
      <c r="FA87" s="239"/>
      <c r="FB87" s="239"/>
      <c r="FC87" s="239"/>
      <c r="FD87" s="239"/>
      <c r="FE87" s="239"/>
      <c r="FF87" s="239"/>
      <c r="FG87" s="239"/>
      <c r="FH87" s="239"/>
      <c r="FI87" s="239"/>
      <c r="FJ87" s="239"/>
      <c r="FK87" s="239"/>
      <c r="FL87" s="239"/>
      <c r="FM87" s="239"/>
      <c r="FN87" s="239"/>
      <c r="FO87" s="239"/>
      <c r="FP87" s="239"/>
      <c r="FQ87" s="239"/>
      <c r="FR87" s="239"/>
      <c r="FS87" s="239"/>
      <c r="FT87" s="239"/>
      <c r="FU87" s="239"/>
      <c r="FV87" s="239"/>
      <c r="FW87" s="239"/>
    </row>
    <row r="88" spans="1:179" s="236" customFormat="1" ht="18">
      <c r="A88" s="260">
        <v>0.04</v>
      </c>
      <c r="B88" s="275">
        <v>50</v>
      </c>
      <c r="C88" s="275">
        <v>97</v>
      </c>
      <c r="D88" s="275">
        <v>125</v>
      </c>
      <c r="E88" s="275">
        <v>180</v>
      </c>
      <c r="F88" s="275">
        <v>240</v>
      </c>
      <c r="G88" s="275">
        <v>320</v>
      </c>
      <c r="H88" s="275">
        <v>400</v>
      </c>
      <c r="I88" s="275">
        <v>540</v>
      </c>
      <c r="J88" s="275">
        <v>680</v>
      </c>
      <c r="K88" s="275">
        <v>900</v>
      </c>
      <c r="L88" s="275">
        <v>1100</v>
      </c>
      <c r="M88" s="275">
        <v>1450</v>
      </c>
      <c r="N88" s="275">
        <v>1700</v>
      </c>
      <c r="O88" s="275">
        <v>2300</v>
      </c>
      <c r="P88" s="275">
        <v>2900</v>
      </c>
      <c r="Q88" s="275">
        <v>3750</v>
      </c>
      <c r="R88" s="275">
        <v>6500</v>
      </c>
      <c r="S88" s="275">
        <v>10000</v>
      </c>
      <c r="T88" s="260"/>
      <c r="V88" s="266">
        <v>0.02</v>
      </c>
      <c r="W88" s="265">
        <v>525</v>
      </c>
      <c r="X88" s="265">
        <v>640</v>
      </c>
      <c r="Y88" s="265">
        <v>910</v>
      </c>
      <c r="Z88" s="265">
        <v>1340</v>
      </c>
      <c r="AA88" s="265">
        <v>1480</v>
      </c>
      <c r="AB88" s="265">
        <v>2150</v>
      </c>
      <c r="AC88" s="265">
        <v>2750</v>
      </c>
      <c r="AD88" s="265">
        <v>3700</v>
      </c>
      <c r="AE88" s="265">
        <v>4500</v>
      </c>
      <c r="AF88" s="265">
        <v>6200</v>
      </c>
      <c r="AG88" s="265">
        <v>7000</v>
      </c>
      <c r="AH88" s="265">
        <v>10000</v>
      </c>
      <c r="AI88" s="265">
        <v>11000</v>
      </c>
      <c r="AJ88" s="265">
        <v>12000</v>
      </c>
      <c r="AK88" s="265">
        <v>13000</v>
      </c>
      <c r="AL88" s="254"/>
      <c r="AN88" s="239"/>
      <c r="AO88" s="239"/>
      <c r="AP88" s="239"/>
      <c r="AQ88" s="239"/>
      <c r="AR88" s="239"/>
      <c r="AS88" s="239"/>
      <c r="AT88" s="239"/>
      <c r="AU88" s="239"/>
      <c r="AV88" s="239"/>
      <c r="AW88" s="239"/>
      <c r="AX88" s="239"/>
      <c r="AY88" s="239"/>
      <c r="AZ88" s="239"/>
      <c r="BA88" s="239"/>
      <c r="BB88" s="239"/>
      <c r="BC88" s="239"/>
      <c r="BD88" s="239"/>
      <c r="BE88" s="239"/>
      <c r="BF88" s="239"/>
      <c r="BG88" s="239"/>
      <c r="BH88" s="239"/>
      <c r="BI88" s="239"/>
      <c r="BJ88" s="239"/>
      <c r="BK88" s="239"/>
      <c r="BL88" s="239"/>
      <c r="BM88" s="239"/>
      <c r="BN88" s="239"/>
      <c r="BO88" s="239"/>
      <c r="BP88" s="239"/>
      <c r="BQ88" s="239"/>
      <c r="BR88" s="239"/>
      <c r="BS88" s="239"/>
      <c r="BT88" s="239"/>
      <c r="BU88" s="239"/>
      <c r="BV88" s="239"/>
      <c r="BW88" s="239"/>
      <c r="BX88" s="239"/>
      <c r="BY88" s="239"/>
      <c r="BZ88" s="239"/>
      <c r="CA88" s="239"/>
      <c r="CB88" s="239"/>
      <c r="CC88" s="239"/>
      <c r="CD88" s="239"/>
      <c r="CE88" s="239"/>
      <c r="CF88" s="239"/>
      <c r="CG88" s="239"/>
      <c r="CH88" s="239"/>
      <c r="CI88" s="239"/>
      <c r="CJ88" s="239"/>
      <c r="CK88" s="239"/>
      <c r="CL88" s="239"/>
      <c r="CM88" s="239"/>
      <c r="CN88" s="239"/>
      <c r="CO88" s="239"/>
      <c r="CP88" s="239"/>
      <c r="CQ88" s="239"/>
      <c r="CR88" s="239"/>
      <c r="CS88" s="239"/>
      <c r="CT88" s="239"/>
      <c r="CU88" s="239"/>
      <c r="CV88" s="239"/>
      <c r="CW88" s="239"/>
      <c r="CX88" s="239"/>
      <c r="CY88" s="239"/>
      <c r="CZ88" s="239"/>
      <c r="DA88" s="239"/>
      <c r="DB88" s="239"/>
      <c r="DC88" s="239"/>
      <c r="DD88" s="239"/>
      <c r="DE88" s="239"/>
      <c r="DF88" s="239"/>
      <c r="DG88" s="239"/>
      <c r="DH88" s="239"/>
      <c r="DI88" s="239"/>
      <c r="DJ88" s="239"/>
      <c r="DK88" s="239"/>
      <c r="DL88" s="239"/>
      <c r="DM88" s="239"/>
      <c r="DN88" s="239"/>
      <c r="DO88" s="239"/>
      <c r="DP88" s="239"/>
      <c r="DQ88" s="239"/>
      <c r="DR88" s="239"/>
      <c r="DS88" s="239"/>
      <c r="DT88" s="239"/>
      <c r="DU88" s="239"/>
      <c r="DV88" s="239"/>
      <c r="DW88" s="239"/>
      <c r="DX88" s="239"/>
      <c r="DY88" s="239"/>
      <c r="DZ88" s="239"/>
      <c r="EA88" s="239"/>
      <c r="EB88" s="239"/>
      <c r="EC88" s="239"/>
      <c r="ED88" s="239"/>
      <c r="EE88" s="239"/>
      <c r="EF88" s="239"/>
      <c r="EG88" s="239"/>
      <c r="EH88" s="239"/>
      <c r="EI88" s="239"/>
      <c r="EJ88" s="239"/>
      <c r="EK88" s="239"/>
      <c r="EL88" s="239"/>
      <c r="EM88" s="239"/>
      <c r="EN88" s="239"/>
      <c r="EO88" s="239"/>
      <c r="EP88" s="239"/>
      <c r="EQ88" s="239"/>
      <c r="ER88" s="239"/>
      <c r="ES88" s="239"/>
      <c r="ET88" s="239"/>
      <c r="EU88" s="239"/>
      <c r="EV88" s="239"/>
      <c r="EW88" s="239"/>
      <c r="EX88" s="239"/>
      <c r="EY88" s="239"/>
      <c r="EZ88" s="239"/>
      <c r="FA88" s="239"/>
      <c r="FB88" s="239"/>
      <c r="FC88" s="239"/>
      <c r="FD88" s="239"/>
      <c r="FE88" s="239"/>
      <c r="FF88" s="239"/>
      <c r="FG88" s="239"/>
      <c r="FH88" s="239"/>
      <c r="FI88" s="239"/>
      <c r="FJ88" s="239"/>
      <c r="FK88" s="239"/>
      <c r="FL88" s="239"/>
      <c r="FM88" s="239"/>
      <c r="FN88" s="239"/>
      <c r="FO88" s="239"/>
      <c r="FP88" s="239"/>
      <c r="FQ88" s="239"/>
      <c r="FR88" s="239"/>
      <c r="FS88" s="239"/>
      <c r="FT88" s="239"/>
      <c r="FU88" s="239"/>
      <c r="FV88" s="239"/>
      <c r="FW88" s="239"/>
    </row>
    <row r="89" spans="1:179" s="236" customFormat="1" ht="18">
      <c r="A89" s="260">
        <v>1.4E-2</v>
      </c>
      <c r="B89" s="275">
        <v>120</v>
      </c>
      <c r="C89" s="275">
        <v>260</v>
      </c>
      <c r="D89" s="275">
        <v>260</v>
      </c>
      <c r="E89" s="275">
        <v>420</v>
      </c>
      <c r="F89" s="275">
        <v>550</v>
      </c>
      <c r="G89" s="275">
        <v>720</v>
      </c>
      <c r="H89" s="275">
        <v>920</v>
      </c>
      <c r="I89" s="275">
        <v>1200</v>
      </c>
      <c r="J89" s="275">
        <v>1550</v>
      </c>
      <c r="K89" s="275">
        <v>2000</v>
      </c>
      <c r="L89" s="275">
        <v>2500</v>
      </c>
      <c r="M89" s="275">
        <v>3300</v>
      </c>
      <c r="N89" s="275">
        <v>4200</v>
      </c>
      <c r="O89" s="275">
        <v>5100</v>
      </c>
      <c r="P89" s="275">
        <v>6500</v>
      </c>
      <c r="Q89" s="275">
        <v>8400</v>
      </c>
      <c r="R89" s="275">
        <v>20000</v>
      </c>
      <c r="S89" s="275">
        <v>40000</v>
      </c>
      <c r="T89" s="260"/>
      <c r="V89" s="266">
        <v>1.4E-2</v>
      </c>
      <c r="W89" s="254">
        <v>1500</v>
      </c>
      <c r="X89" s="254">
        <v>2000</v>
      </c>
      <c r="Y89" s="254">
        <v>3000</v>
      </c>
      <c r="Z89" s="254">
        <v>5000</v>
      </c>
      <c r="AA89" s="254">
        <v>6000</v>
      </c>
      <c r="AB89" s="254">
        <v>7000</v>
      </c>
      <c r="AC89" s="254">
        <v>10000</v>
      </c>
      <c r="AD89" s="254">
        <v>10000</v>
      </c>
      <c r="AE89" s="254">
        <v>11000</v>
      </c>
      <c r="AF89" s="254">
        <v>12000</v>
      </c>
      <c r="AG89" s="254">
        <v>13000</v>
      </c>
      <c r="AH89" s="254">
        <v>14000</v>
      </c>
      <c r="AI89" s="254">
        <v>15000</v>
      </c>
      <c r="AJ89" s="254">
        <v>16000</v>
      </c>
      <c r="AK89" s="254">
        <v>17000</v>
      </c>
      <c r="AN89" s="239"/>
      <c r="AO89" s="239"/>
      <c r="AP89" s="239"/>
      <c r="AQ89" s="239"/>
      <c r="AR89" s="239"/>
      <c r="AS89" s="239"/>
      <c r="AT89" s="239"/>
      <c r="AU89" s="239"/>
      <c r="AV89" s="239"/>
      <c r="AW89" s="239"/>
      <c r="AX89" s="239"/>
      <c r="AY89" s="239"/>
      <c r="AZ89" s="239"/>
      <c r="BA89" s="239"/>
      <c r="BB89" s="239"/>
      <c r="BC89" s="239"/>
      <c r="BD89" s="239"/>
      <c r="BE89" s="239"/>
      <c r="BF89" s="239"/>
      <c r="BG89" s="239"/>
      <c r="BH89" s="239"/>
      <c r="BI89" s="239"/>
      <c r="BJ89" s="239"/>
      <c r="BK89" s="239"/>
      <c r="BL89" s="239"/>
      <c r="BM89" s="239"/>
      <c r="BN89" s="239"/>
      <c r="BO89" s="239"/>
      <c r="BP89" s="239"/>
      <c r="BQ89" s="239"/>
      <c r="BR89" s="239"/>
      <c r="BS89" s="239"/>
      <c r="BT89" s="239"/>
      <c r="BU89" s="239"/>
      <c r="BV89" s="239"/>
      <c r="BW89" s="239"/>
      <c r="BX89" s="239"/>
      <c r="BY89" s="239"/>
      <c r="BZ89" s="239"/>
      <c r="CA89" s="239"/>
      <c r="CB89" s="239"/>
      <c r="CC89" s="239"/>
      <c r="CD89" s="239"/>
      <c r="CE89" s="239"/>
      <c r="CF89" s="239"/>
      <c r="CG89" s="239"/>
      <c r="CH89" s="239"/>
      <c r="CI89" s="239"/>
      <c r="CJ89" s="239"/>
      <c r="CK89" s="239"/>
      <c r="CL89" s="239"/>
      <c r="CM89" s="239"/>
      <c r="CN89" s="239"/>
      <c r="CO89" s="239"/>
      <c r="CP89" s="239"/>
      <c r="CQ89" s="239"/>
      <c r="CR89" s="239"/>
      <c r="CS89" s="239"/>
      <c r="CT89" s="239"/>
      <c r="CU89" s="239"/>
      <c r="CV89" s="239"/>
      <c r="CW89" s="239"/>
      <c r="CX89" s="239"/>
      <c r="CY89" s="239"/>
      <c r="CZ89" s="239"/>
      <c r="DA89" s="239"/>
      <c r="DB89" s="239"/>
      <c r="DC89" s="239"/>
      <c r="DD89" s="239"/>
      <c r="DE89" s="239"/>
      <c r="DF89" s="239"/>
      <c r="DG89" s="239"/>
      <c r="DH89" s="239"/>
      <c r="DI89" s="239"/>
      <c r="DJ89" s="239"/>
      <c r="DK89" s="239"/>
      <c r="DL89" s="239"/>
      <c r="DM89" s="239"/>
      <c r="DN89" s="239"/>
      <c r="DO89" s="239"/>
      <c r="DP89" s="239"/>
      <c r="DQ89" s="239"/>
      <c r="DR89" s="239"/>
      <c r="DS89" s="239"/>
      <c r="DT89" s="239"/>
      <c r="DU89" s="239"/>
      <c r="DV89" s="239"/>
      <c r="DW89" s="239"/>
      <c r="DX89" s="239"/>
      <c r="DY89" s="239"/>
      <c r="DZ89" s="239"/>
      <c r="EA89" s="239"/>
      <c r="EB89" s="239"/>
      <c r="EC89" s="239"/>
      <c r="ED89" s="239"/>
      <c r="EE89" s="239"/>
      <c r="EF89" s="239"/>
      <c r="EG89" s="239"/>
      <c r="EH89" s="239"/>
      <c r="EI89" s="239"/>
      <c r="EJ89" s="239"/>
      <c r="EK89" s="239"/>
      <c r="EL89" s="239"/>
      <c r="EM89" s="239"/>
      <c r="EN89" s="239"/>
      <c r="EO89" s="239"/>
      <c r="EP89" s="239"/>
      <c r="EQ89" s="239"/>
      <c r="ER89" s="239"/>
      <c r="ES89" s="239"/>
      <c r="ET89" s="239"/>
      <c r="EU89" s="239"/>
      <c r="EV89" s="239"/>
      <c r="EW89" s="239"/>
      <c r="EX89" s="239"/>
      <c r="EY89" s="239"/>
      <c r="EZ89" s="239"/>
      <c r="FA89" s="239"/>
      <c r="FB89" s="239"/>
      <c r="FC89" s="239"/>
      <c r="FD89" s="239"/>
      <c r="FE89" s="239"/>
      <c r="FF89" s="239"/>
      <c r="FG89" s="239"/>
      <c r="FH89" s="239"/>
      <c r="FI89" s="239"/>
      <c r="FJ89" s="239"/>
      <c r="FK89" s="239"/>
      <c r="FL89" s="239"/>
      <c r="FM89" s="239"/>
      <c r="FN89" s="239"/>
      <c r="FO89" s="239"/>
      <c r="FP89" s="239"/>
      <c r="FQ89" s="239"/>
      <c r="FR89" s="239"/>
      <c r="FS89" s="239"/>
      <c r="FT89" s="239"/>
      <c r="FU89" s="239"/>
      <c r="FV89" s="239"/>
      <c r="FW89" s="239"/>
    </row>
    <row r="90" spans="1:179" s="236" customFormat="1" ht="15.75">
      <c r="A90" s="260"/>
      <c r="B90" s="260"/>
      <c r="C90" s="260"/>
      <c r="D90" s="260"/>
      <c r="E90" s="260"/>
      <c r="F90" s="260"/>
      <c r="G90" s="260"/>
      <c r="H90" s="260"/>
      <c r="I90" s="260"/>
      <c r="J90" s="260"/>
      <c r="K90" s="260"/>
      <c r="L90" s="260"/>
      <c r="M90" s="260"/>
      <c r="N90" s="260"/>
      <c r="O90" s="260"/>
      <c r="P90" s="260"/>
      <c r="Q90" s="260"/>
      <c r="R90" s="260"/>
      <c r="S90" s="260"/>
      <c r="T90" s="260"/>
      <c r="AL90" s="260"/>
      <c r="AN90" s="239"/>
      <c r="AO90" s="239"/>
      <c r="AP90" s="239"/>
      <c r="AQ90" s="239"/>
      <c r="AR90" s="239"/>
      <c r="AS90" s="239"/>
      <c r="AT90" s="239"/>
      <c r="AU90" s="239"/>
      <c r="AV90" s="239"/>
      <c r="AW90" s="239"/>
      <c r="AX90" s="239"/>
      <c r="AY90" s="239"/>
      <c r="AZ90" s="239"/>
      <c r="BA90" s="239"/>
      <c r="BB90" s="239"/>
      <c r="BC90" s="239"/>
      <c r="BD90" s="239"/>
      <c r="BE90" s="239"/>
      <c r="BF90" s="239"/>
      <c r="BG90" s="239"/>
      <c r="BH90" s="239"/>
      <c r="BI90" s="239"/>
      <c r="BJ90" s="239"/>
      <c r="BK90" s="239"/>
      <c r="BL90" s="239"/>
      <c r="BM90" s="239"/>
      <c r="BN90" s="239"/>
      <c r="BO90" s="239"/>
      <c r="BP90" s="239"/>
      <c r="BQ90" s="239"/>
      <c r="BR90" s="239"/>
      <c r="BS90" s="239"/>
      <c r="BT90" s="239"/>
      <c r="BU90" s="239"/>
      <c r="BV90" s="239"/>
      <c r="BW90" s="239"/>
      <c r="BX90" s="239"/>
      <c r="BY90" s="239"/>
      <c r="BZ90" s="239"/>
      <c r="CA90" s="239"/>
      <c r="CB90" s="239"/>
      <c r="CC90" s="239"/>
      <c r="CD90" s="239"/>
      <c r="CE90" s="239"/>
      <c r="CF90" s="239"/>
      <c r="CG90" s="239"/>
      <c r="CH90" s="239"/>
      <c r="CI90" s="239"/>
      <c r="CJ90" s="239"/>
      <c r="CK90" s="239"/>
      <c r="CL90" s="239"/>
      <c r="CM90" s="239"/>
      <c r="CN90" s="239"/>
      <c r="CO90" s="239"/>
      <c r="CP90" s="239"/>
      <c r="CQ90" s="239"/>
      <c r="CR90" s="239"/>
      <c r="CS90" s="239"/>
      <c r="CT90" s="239"/>
      <c r="CU90" s="239"/>
      <c r="CV90" s="239"/>
      <c r="CW90" s="239"/>
      <c r="CX90" s="239"/>
      <c r="CY90" s="239"/>
      <c r="CZ90" s="239"/>
      <c r="DA90" s="239"/>
      <c r="DB90" s="239"/>
      <c r="DC90" s="239"/>
      <c r="DD90" s="239"/>
      <c r="DE90" s="239"/>
      <c r="DF90" s="239"/>
      <c r="DG90" s="239"/>
      <c r="DH90" s="239"/>
      <c r="DI90" s="239"/>
      <c r="DJ90" s="239"/>
      <c r="DK90" s="239"/>
      <c r="DL90" s="239"/>
      <c r="DM90" s="239"/>
      <c r="DN90" s="239"/>
      <c r="DO90" s="239"/>
      <c r="DP90" s="239"/>
      <c r="DQ90" s="239"/>
      <c r="DR90" s="239"/>
      <c r="DS90" s="239"/>
      <c r="DT90" s="239"/>
      <c r="DU90" s="239"/>
      <c r="DV90" s="239"/>
      <c r="DW90" s="239"/>
      <c r="DX90" s="239"/>
      <c r="DY90" s="239"/>
      <c r="DZ90" s="239"/>
      <c r="EA90" s="239"/>
      <c r="EB90" s="239"/>
      <c r="EC90" s="239"/>
      <c r="ED90" s="239"/>
      <c r="EE90" s="239"/>
      <c r="EF90" s="239"/>
      <c r="EG90" s="239"/>
      <c r="EH90" s="239"/>
      <c r="EI90" s="239"/>
      <c r="EJ90" s="239"/>
      <c r="EK90" s="239"/>
      <c r="EL90" s="239"/>
      <c r="EM90" s="239"/>
      <c r="EN90" s="239"/>
      <c r="EO90" s="239"/>
      <c r="EP90" s="239"/>
      <c r="EQ90" s="239"/>
      <c r="ER90" s="239"/>
      <c r="ES90" s="239"/>
      <c r="ET90" s="239"/>
      <c r="EU90" s="239"/>
      <c r="EV90" s="239"/>
      <c r="EW90" s="239"/>
      <c r="EX90" s="239"/>
      <c r="EY90" s="239"/>
      <c r="EZ90" s="239"/>
      <c r="FA90" s="239"/>
      <c r="FB90" s="239"/>
      <c r="FC90" s="239"/>
      <c r="FD90" s="239"/>
      <c r="FE90" s="239"/>
      <c r="FF90" s="239"/>
      <c r="FG90" s="239"/>
      <c r="FH90" s="239"/>
      <c r="FI90" s="239"/>
      <c r="FJ90" s="239"/>
      <c r="FK90" s="239"/>
      <c r="FL90" s="239"/>
      <c r="FM90" s="239"/>
      <c r="FN90" s="239"/>
      <c r="FO90" s="239"/>
      <c r="FP90" s="239"/>
      <c r="FQ90" s="239"/>
      <c r="FR90" s="239"/>
      <c r="FS90" s="239"/>
      <c r="FT90" s="239"/>
      <c r="FU90" s="239"/>
      <c r="FV90" s="239"/>
      <c r="FW90" s="239"/>
    </row>
    <row r="91" spans="1:179" s="236" customFormat="1" ht="15.75">
      <c r="A91" s="260"/>
      <c r="B91" s="260"/>
      <c r="C91" s="260"/>
      <c r="D91" s="260"/>
      <c r="E91" s="260"/>
      <c r="F91" s="260"/>
      <c r="G91" s="260"/>
      <c r="H91" s="260"/>
      <c r="I91" s="260"/>
      <c r="J91" s="260"/>
      <c r="K91" s="260"/>
      <c r="L91" s="260"/>
      <c r="M91" s="260"/>
      <c r="N91" s="260"/>
      <c r="O91" s="260"/>
      <c r="P91" s="260"/>
      <c r="Q91" s="260"/>
      <c r="R91" s="260"/>
      <c r="S91" s="260"/>
      <c r="T91" s="260"/>
      <c r="AL91" s="260"/>
      <c r="AN91" s="239"/>
      <c r="AO91" s="239"/>
      <c r="AP91" s="239"/>
      <c r="AQ91" s="239"/>
      <c r="AR91" s="239"/>
      <c r="AS91" s="239"/>
      <c r="AT91" s="239"/>
      <c r="AU91" s="239"/>
      <c r="AV91" s="239"/>
      <c r="AW91" s="239"/>
      <c r="AX91" s="239"/>
      <c r="AY91" s="239"/>
      <c r="AZ91" s="239"/>
      <c r="BA91" s="239"/>
      <c r="BB91" s="239"/>
      <c r="BC91" s="239"/>
      <c r="BD91" s="239"/>
      <c r="BE91" s="239"/>
      <c r="BF91" s="239"/>
      <c r="BG91" s="239"/>
      <c r="BH91" s="239"/>
      <c r="BI91" s="239"/>
      <c r="BJ91" s="239"/>
      <c r="BK91" s="239"/>
      <c r="BL91" s="239"/>
      <c r="BM91" s="239"/>
      <c r="BN91" s="239"/>
      <c r="BO91" s="239"/>
      <c r="BP91" s="239"/>
      <c r="BQ91" s="239"/>
      <c r="BR91" s="239"/>
      <c r="BS91" s="239"/>
      <c r="BT91" s="239"/>
      <c r="BU91" s="239"/>
      <c r="BV91" s="239"/>
      <c r="BW91" s="239"/>
      <c r="BX91" s="239"/>
      <c r="BY91" s="239"/>
      <c r="BZ91" s="239"/>
      <c r="CA91" s="239"/>
      <c r="CB91" s="239"/>
      <c r="CC91" s="239"/>
      <c r="CD91" s="239"/>
      <c r="CE91" s="239"/>
      <c r="CF91" s="239"/>
      <c r="CG91" s="239"/>
      <c r="CH91" s="239"/>
      <c r="CI91" s="239"/>
      <c r="CJ91" s="239"/>
      <c r="CK91" s="239"/>
      <c r="CL91" s="239"/>
      <c r="CM91" s="239"/>
      <c r="CN91" s="239"/>
      <c r="CO91" s="239"/>
      <c r="CP91" s="239"/>
      <c r="CQ91" s="239"/>
      <c r="CR91" s="239"/>
      <c r="CS91" s="239"/>
      <c r="CT91" s="239"/>
      <c r="CU91" s="239"/>
      <c r="CV91" s="239"/>
      <c r="CW91" s="239"/>
      <c r="CX91" s="239"/>
      <c r="CY91" s="239"/>
      <c r="CZ91" s="239"/>
      <c r="DA91" s="239"/>
      <c r="DB91" s="239"/>
      <c r="DC91" s="239"/>
      <c r="DD91" s="239"/>
      <c r="DE91" s="239"/>
      <c r="DF91" s="239"/>
      <c r="DG91" s="239"/>
      <c r="DH91" s="239"/>
      <c r="DI91" s="239"/>
      <c r="DJ91" s="239"/>
      <c r="DK91" s="239"/>
      <c r="DL91" s="239"/>
      <c r="DM91" s="239"/>
      <c r="DN91" s="239"/>
      <c r="DO91" s="239"/>
      <c r="DP91" s="239"/>
      <c r="DQ91" s="239"/>
      <c r="DR91" s="239"/>
      <c r="DS91" s="239"/>
      <c r="DT91" s="239"/>
      <c r="DU91" s="239"/>
      <c r="DV91" s="239"/>
      <c r="DW91" s="239"/>
      <c r="DX91" s="239"/>
      <c r="DY91" s="239"/>
      <c r="DZ91" s="239"/>
      <c r="EA91" s="239"/>
      <c r="EB91" s="239"/>
      <c r="EC91" s="239"/>
      <c r="ED91" s="239"/>
      <c r="EE91" s="239"/>
      <c r="EF91" s="239"/>
      <c r="EG91" s="239"/>
      <c r="EH91" s="239"/>
      <c r="EI91" s="239"/>
      <c r="EJ91" s="239"/>
      <c r="EK91" s="239"/>
      <c r="EL91" s="239"/>
      <c r="EM91" s="239"/>
      <c r="EN91" s="239"/>
      <c r="EO91" s="239"/>
      <c r="EP91" s="239"/>
      <c r="EQ91" s="239"/>
      <c r="ER91" s="239"/>
      <c r="ES91" s="239"/>
      <c r="ET91" s="239"/>
      <c r="EU91" s="239"/>
      <c r="EV91" s="239"/>
      <c r="EW91" s="239"/>
      <c r="EX91" s="239"/>
      <c r="EY91" s="239"/>
      <c r="EZ91" s="239"/>
      <c r="FA91" s="239"/>
      <c r="FB91" s="239"/>
      <c r="FC91" s="239"/>
      <c r="FD91" s="239"/>
      <c r="FE91" s="239"/>
      <c r="FF91" s="239"/>
      <c r="FG91" s="239"/>
      <c r="FH91" s="239"/>
      <c r="FI91" s="239"/>
      <c r="FJ91" s="239"/>
      <c r="FK91" s="239"/>
      <c r="FL91" s="239"/>
      <c r="FM91" s="239"/>
      <c r="FN91" s="239"/>
      <c r="FO91" s="239"/>
      <c r="FP91" s="239"/>
      <c r="FQ91" s="239"/>
      <c r="FR91" s="239"/>
      <c r="FS91" s="239"/>
      <c r="FT91" s="239"/>
      <c r="FU91" s="239"/>
      <c r="FV91" s="239"/>
      <c r="FW91" s="239"/>
    </row>
    <row r="92" spans="1:179" s="236" customFormat="1" ht="23.25">
      <c r="A92" s="235" t="s">
        <v>918</v>
      </c>
      <c r="B92" s="235"/>
      <c r="C92" s="235"/>
      <c r="D92" s="235"/>
      <c r="E92" s="235"/>
      <c r="F92" s="235"/>
      <c r="G92" s="235"/>
      <c r="H92" s="235"/>
      <c r="I92" s="235"/>
      <c r="J92" s="235"/>
      <c r="K92" s="235"/>
      <c r="L92" s="235"/>
      <c r="M92" s="235"/>
      <c r="N92" s="235"/>
      <c r="O92" s="235"/>
      <c r="P92" s="235"/>
      <c r="Q92" s="235"/>
      <c r="R92" s="260"/>
      <c r="S92" s="260"/>
      <c r="T92" s="260"/>
      <c r="AN92" s="239"/>
      <c r="AO92" s="239"/>
      <c r="AP92" s="239"/>
      <c r="AQ92" s="239"/>
      <c r="AR92" s="239"/>
      <c r="AS92" s="239"/>
      <c r="AT92" s="239"/>
      <c r="AU92" s="239"/>
      <c r="AV92" s="239"/>
      <c r="AW92" s="239"/>
      <c r="AX92" s="239"/>
      <c r="AY92" s="239"/>
      <c r="AZ92" s="239"/>
      <c r="BA92" s="239"/>
      <c r="BB92" s="239"/>
      <c r="BC92" s="239"/>
      <c r="BD92" s="239"/>
      <c r="BE92" s="239"/>
      <c r="BF92" s="239"/>
      <c r="BG92" s="239"/>
      <c r="BH92" s="239"/>
      <c r="BI92" s="239"/>
      <c r="BJ92" s="239"/>
      <c r="BK92" s="239"/>
      <c r="BL92" s="239"/>
      <c r="BM92" s="239"/>
      <c r="BN92" s="239"/>
      <c r="BO92" s="239"/>
      <c r="BP92" s="239"/>
      <c r="BQ92" s="239"/>
      <c r="BR92" s="239"/>
      <c r="BS92" s="239"/>
      <c r="BT92" s="239"/>
      <c r="BU92" s="239"/>
      <c r="BV92" s="239"/>
      <c r="BW92" s="239"/>
      <c r="BX92" s="239"/>
      <c r="BY92" s="239"/>
      <c r="BZ92" s="239"/>
      <c r="CA92" s="239"/>
      <c r="CB92" s="239"/>
      <c r="CC92" s="239"/>
      <c r="CD92" s="239"/>
      <c r="CE92" s="239"/>
      <c r="CF92" s="239"/>
      <c r="CG92" s="239"/>
      <c r="CH92" s="239"/>
      <c r="CI92" s="239"/>
      <c r="CJ92" s="239"/>
      <c r="CK92" s="239"/>
      <c r="CL92" s="239"/>
      <c r="CM92" s="239"/>
      <c r="CN92" s="239"/>
      <c r="CO92" s="239"/>
      <c r="CP92" s="239"/>
      <c r="CQ92" s="239"/>
      <c r="CR92" s="239"/>
      <c r="CS92" s="239"/>
      <c r="CT92" s="239"/>
      <c r="CU92" s="239"/>
      <c r="CV92" s="239"/>
      <c r="CW92" s="239"/>
      <c r="CX92" s="239"/>
      <c r="CY92" s="239"/>
      <c r="CZ92" s="239"/>
      <c r="DA92" s="239"/>
      <c r="DB92" s="239"/>
      <c r="DC92" s="239"/>
      <c r="DD92" s="239"/>
      <c r="DE92" s="239"/>
      <c r="DF92" s="239"/>
      <c r="DG92" s="239"/>
      <c r="DH92" s="239"/>
      <c r="DI92" s="239"/>
      <c r="DJ92" s="239"/>
      <c r="DK92" s="239"/>
      <c r="DL92" s="239"/>
      <c r="DM92" s="239"/>
      <c r="DN92" s="239"/>
      <c r="DO92" s="239"/>
      <c r="DP92" s="239"/>
      <c r="DQ92" s="239"/>
      <c r="DR92" s="239"/>
      <c r="DS92" s="239"/>
      <c r="DT92" s="239"/>
      <c r="DU92" s="239"/>
      <c r="DV92" s="239"/>
      <c r="DW92" s="239"/>
      <c r="DX92" s="239"/>
      <c r="DY92" s="239"/>
      <c r="DZ92" s="239"/>
      <c r="EA92" s="239"/>
      <c r="EB92" s="239"/>
      <c r="EC92" s="239"/>
      <c r="ED92" s="239"/>
      <c r="EE92" s="239"/>
      <c r="EF92" s="239"/>
      <c r="EG92" s="239"/>
      <c r="EH92" s="239"/>
      <c r="EI92" s="239"/>
      <c r="EJ92" s="239"/>
      <c r="EK92" s="239"/>
      <c r="EL92" s="239"/>
      <c r="EM92" s="239"/>
      <c r="EN92" s="239"/>
      <c r="EO92" s="239"/>
      <c r="EP92" s="239"/>
      <c r="EQ92" s="239"/>
      <c r="ER92" s="239"/>
      <c r="ES92" s="239"/>
      <c r="ET92" s="239"/>
      <c r="EU92" s="239"/>
      <c r="EV92" s="239"/>
      <c r="EW92" s="239"/>
      <c r="EX92" s="239"/>
      <c r="EY92" s="239"/>
      <c r="EZ92" s="239"/>
      <c r="FA92" s="239"/>
      <c r="FB92" s="239"/>
      <c r="FC92" s="239"/>
      <c r="FD92" s="239"/>
      <c r="FE92" s="239"/>
      <c r="FF92" s="239"/>
      <c r="FG92" s="239"/>
      <c r="FH92" s="239"/>
      <c r="FI92" s="239"/>
      <c r="FJ92" s="239"/>
      <c r="FK92" s="239"/>
      <c r="FL92" s="239"/>
      <c r="FM92" s="239"/>
      <c r="FN92" s="239"/>
      <c r="FO92" s="239"/>
      <c r="FP92" s="239"/>
      <c r="FQ92" s="239"/>
      <c r="FR92" s="239"/>
      <c r="FS92" s="239"/>
      <c r="FT92" s="239"/>
      <c r="FU92" s="239"/>
      <c r="FV92" s="239"/>
      <c r="FW92" s="239"/>
    </row>
    <row r="93" spans="1:179" s="236" customFormat="1" ht="15.75">
      <c r="A93" s="260"/>
      <c r="B93" s="260"/>
      <c r="C93" s="260"/>
      <c r="D93" s="260"/>
      <c r="E93" s="260"/>
      <c r="F93" s="260"/>
      <c r="G93" s="260"/>
      <c r="H93" s="260"/>
      <c r="I93" s="260"/>
      <c r="J93" s="260"/>
      <c r="K93" s="260"/>
      <c r="L93" s="260"/>
      <c r="M93" s="260"/>
      <c r="N93" s="260"/>
      <c r="O93" s="260"/>
      <c r="P93" s="260"/>
      <c r="Q93" s="260"/>
      <c r="R93" s="260"/>
      <c r="S93" s="260"/>
      <c r="T93" s="260"/>
      <c r="AN93" s="239"/>
      <c r="AO93" s="239"/>
      <c r="AP93" s="239"/>
      <c r="AQ93" s="239"/>
      <c r="AR93" s="239"/>
      <c r="AS93" s="239"/>
      <c r="AT93" s="239"/>
      <c r="AU93" s="239"/>
      <c r="AV93" s="239"/>
      <c r="AW93" s="239"/>
      <c r="AX93" s="239"/>
      <c r="AY93" s="239"/>
      <c r="AZ93" s="239"/>
      <c r="BA93" s="239"/>
      <c r="BB93" s="239"/>
      <c r="BC93" s="239"/>
      <c r="BD93" s="239"/>
      <c r="BE93" s="239"/>
      <c r="BF93" s="239"/>
      <c r="BG93" s="239"/>
      <c r="BH93" s="239"/>
      <c r="BI93" s="239"/>
      <c r="BJ93" s="239"/>
      <c r="BK93" s="239"/>
      <c r="BL93" s="239"/>
      <c r="BM93" s="239"/>
      <c r="BN93" s="239"/>
      <c r="BO93" s="239"/>
      <c r="BP93" s="239"/>
      <c r="BQ93" s="239"/>
      <c r="BR93" s="239"/>
      <c r="BS93" s="239"/>
      <c r="BT93" s="239"/>
      <c r="BU93" s="239"/>
      <c r="BV93" s="239"/>
      <c r="BW93" s="239"/>
      <c r="BX93" s="239"/>
      <c r="BY93" s="239"/>
      <c r="BZ93" s="239"/>
      <c r="CA93" s="239"/>
      <c r="CB93" s="239"/>
      <c r="CC93" s="239"/>
      <c r="CD93" s="239"/>
      <c r="CE93" s="239"/>
      <c r="CF93" s="239"/>
      <c r="CG93" s="239"/>
      <c r="CH93" s="239"/>
      <c r="CI93" s="239"/>
      <c r="CJ93" s="239"/>
      <c r="CK93" s="239"/>
      <c r="CL93" s="239"/>
      <c r="CM93" s="239"/>
      <c r="CN93" s="239"/>
      <c r="CO93" s="239"/>
      <c r="CP93" s="239"/>
      <c r="CQ93" s="239"/>
      <c r="CR93" s="239"/>
      <c r="CS93" s="239"/>
      <c r="CT93" s="239"/>
      <c r="CU93" s="239"/>
      <c r="CV93" s="239"/>
      <c r="CW93" s="239"/>
      <c r="CX93" s="239"/>
      <c r="CY93" s="239"/>
      <c r="CZ93" s="239"/>
      <c r="DA93" s="239"/>
      <c r="DB93" s="239"/>
      <c r="DC93" s="239"/>
      <c r="DD93" s="239"/>
      <c r="DE93" s="239"/>
      <c r="DF93" s="239"/>
      <c r="DG93" s="239"/>
      <c r="DH93" s="239"/>
      <c r="DI93" s="239"/>
      <c r="DJ93" s="239"/>
      <c r="DK93" s="239"/>
      <c r="DL93" s="239"/>
      <c r="DM93" s="239"/>
      <c r="DN93" s="239"/>
      <c r="DO93" s="239"/>
      <c r="DP93" s="239"/>
      <c r="DQ93" s="239"/>
      <c r="DR93" s="239"/>
      <c r="DS93" s="239"/>
      <c r="DT93" s="239"/>
      <c r="DU93" s="239"/>
      <c r="DV93" s="239"/>
      <c r="DW93" s="239"/>
      <c r="DX93" s="239"/>
      <c r="DY93" s="239"/>
      <c r="DZ93" s="239"/>
      <c r="EA93" s="239"/>
      <c r="EB93" s="239"/>
      <c r="EC93" s="239"/>
      <c r="ED93" s="239"/>
      <c r="EE93" s="239"/>
      <c r="EF93" s="239"/>
      <c r="EG93" s="239"/>
      <c r="EH93" s="239"/>
      <c r="EI93" s="239"/>
      <c r="EJ93" s="239"/>
      <c r="EK93" s="239"/>
      <c r="EL93" s="239"/>
      <c r="EM93" s="239"/>
      <c r="EN93" s="239"/>
      <c r="EO93" s="239"/>
      <c r="EP93" s="239"/>
      <c r="EQ93" s="239"/>
      <c r="ER93" s="239"/>
      <c r="ES93" s="239"/>
      <c r="ET93" s="239"/>
      <c r="EU93" s="239"/>
      <c r="EV93" s="239"/>
      <c r="EW93" s="239"/>
      <c r="EX93" s="239"/>
      <c r="EY93" s="239"/>
      <c r="EZ93" s="239"/>
      <c r="FA93" s="239"/>
      <c r="FB93" s="239"/>
      <c r="FC93" s="239"/>
      <c r="FD93" s="239"/>
      <c r="FE93" s="239"/>
      <c r="FF93" s="239"/>
      <c r="FG93" s="239"/>
      <c r="FH93" s="239"/>
      <c r="FI93" s="239"/>
      <c r="FJ93" s="239"/>
      <c r="FK93" s="239"/>
      <c r="FL93" s="239"/>
      <c r="FM93" s="239"/>
      <c r="FN93" s="239"/>
      <c r="FO93" s="239"/>
      <c r="FP93" s="239"/>
      <c r="FQ93" s="239"/>
      <c r="FR93" s="239"/>
      <c r="FS93" s="239"/>
      <c r="FT93" s="239"/>
      <c r="FU93" s="239"/>
      <c r="FV93" s="239"/>
      <c r="FW93" s="239"/>
    </row>
    <row r="94" spans="1:179" s="236" customFormat="1" ht="18">
      <c r="A94" s="248" t="s">
        <v>873</v>
      </c>
      <c r="B94" s="248" t="s">
        <v>919</v>
      </c>
      <c r="C94" s="248" t="s">
        <v>920</v>
      </c>
      <c r="D94" s="248" t="s">
        <v>921</v>
      </c>
      <c r="E94" s="248" t="s">
        <v>922</v>
      </c>
      <c r="F94" s="248" t="s">
        <v>923</v>
      </c>
      <c r="G94" s="248" t="s">
        <v>924</v>
      </c>
      <c r="H94" s="248" t="s">
        <v>925</v>
      </c>
      <c r="I94" s="248" t="s">
        <v>926</v>
      </c>
      <c r="J94" s="248" t="s">
        <v>927</v>
      </c>
      <c r="K94" s="248" t="s">
        <v>928</v>
      </c>
      <c r="L94" s="248" t="s">
        <v>929</v>
      </c>
      <c r="M94" s="248" t="s">
        <v>930</v>
      </c>
      <c r="N94" s="248" t="s">
        <v>931</v>
      </c>
      <c r="O94" s="248" t="s">
        <v>932</v>
      </c>
      <c r="P94" s="248" t="s">
        <v>933</v>
      </c>
      <c r="Q94" s="248" t="s">
        <v>934</v>
      </c>
      <c r="R94" s="260"/>
      <c r="S94" s="260"/>
      <c r="T94" s="260"/>
      <c r="AN94" s="239"/>
      <c r="AO94" s="239"/>
      <c r="AP94" s="239"/>
      <c r="AQ94" s="239"/>
      <c r="AR94" s="239"/>
      <c r="AS94" s="239"/>
      <c r="AT94" s="239"/>
      <c r="AU94" s="239"/>
      <c r="AV94" s="239"/>
      <c r="AW94" s="239"/>
      <c r="AX94" s="239"/>
      <c r="AY94" s="239"/>
      <c r="AZ94" s="239"/>
      <c r="BA94" s="239"/>
      <c r="BB94" s="239"/>
      <c r="BC94" s="239"/>
      <c r="BD94" s="239"/>
      <c r="BE94" s="239"/>
      <c r="BF94" s="239"/>
      <c r="BG94" s="239"/>
      <c r="BH94" s="239"/>
      <c r="BI94" s="239"/>
      <c r="BJ94" s="239"/>
      <c r="BK94" s="239"/>
      <c r="BL94" s="239"/>
      <c r="BM94" s="239"/>
      <c r="BN94" s="239"/>
      <c r="BO94" s="239"/>
      <c r="BP94" s="239"/>
      <c r="BQ94" s="239"/>
      <c r="BR94" s="239"/>
      <c r="BS94" s="239"/>
      <c r="BT94" s="239"/>
      <c r="BU94" s="239"/>
      <c r="BV94" s="239"/>
      <c r="BW94" s="239"/>
      <c r="BX94" s="239"/>
      <c r="BY94" s="239"/>
      <c r="BZ94" s="239"/>
      <c r="CA94" s="239"/>
      <c r="CB94" s="239"/>
      <c r="CC94" s="239"/>
      <c r="CD94" s="239"/>
      <c r="CE94" s="239"/>
      <c r="CF94" s="239"/>
      <c r="CG94" s="239"/>
      <c r="CH94" s="239"/>
      <c r="CI94" s="239"/>
      <c r="CJ94" s="239"/>
      <c r="CK94" s="239"/>
      <c r="CL94" s="239"/>
      <c r="CM94" s="239"/>
      <c r="CN94" s="239"/>
      <c r="CO94" s="239"/>
      <c r="CP94" s="239"/>
      <c r="CQ94" s="239"/>
      <c r="CR94" s="239"/>
      <c r="CS94" s="239"/>
      <c r="CT94" s="239"/>
      <c r="CU94" s="239"/>
      <c r="CV94" s="239"/>
      <c r="CW94" s="239"/>
      <c r="CX94" s="239"/>
      <c r="CY94" s="239"/>
      <c r="CZ94" s="239"/>
      <c r="DA94" s="239"/>
      <c r="DB94" s="239"/>
      <c r="DC94" s="239"/>
      <c r="DD94" s="239"/>
      <c r="DE94" s="239"/>
      <c r="DF94" s="239"/>
      <c r="DG94" s="239"/>
      <c r="DH94" s="239"/>
      <c r="DI94" s="239"/>
      <c r="DJ94" s="239"/>
      <c r="DK94" s="239"/>
      <c r="DL94" s="239"/>
      <c r="DM94" s="239"/>
      <c r="DN94" s="239"/>
      <c r="DO94" s="239"/>
      <c r="DP94" s="239"/>
      <c r="DQ94" s="239"/>
      <c r="DR94" s="239"/>
      <c r="DS94" s="239"/>
      <c r="DT94" s="239"/>
      <c r="DU94" s="239"/>
      <c r="DV94" s="239"/>
      <c r="DW94" s="239"/>
      <c r="DX94" s="239"/>
      <c r="DY94" s="239"/>
      <c r="DZ94" s="239"/>
      <c r="EA94" s="239"/>
      <c r="EB94" s="239"/>
      <c r="EC94" s="239"/>
      <c r="ED94" s="239"/>
      <c r="EE94" s="239"/>
      <c r="EF94" s="239"/>
      <c r="EG94" s="239"/>
      <c r="EH94" s="239"/>
      <c r="EI94" s="239"/>
      <c r="EJ94" s="239"/>
      <c r="EK94" s="239"/>
      <c r="EL94" s="239"/>
      <c r="EM94" s="239"/>
      <c r="EN94" s="239"/>
      <c r="EO94" s="239"/>
      <c r="EP94" s="239"/>
      <c r="EQ94" s="239"/>
      <c r="ER94" s="239"/>
      <c r="ES94" s="239"/>
      <c r="ET94" s="239"/>
      <c r="EU94" s="239"/>
      <c r="EV94" s="239"/>
      <c r="EW94" s="239"/>
      <c r="EX94" s="239"/>
      <c r="EY94" s="239"/>
      <c r="EZ94" s="239"/>
      <c r="FA94" s="239"/>
      <c r="FB94" s="239"/>
      <c r="FC94" s="239"/>
      <c r="FD94" s="239"/>
      <c r="FE94" s="239"/>
      <c r="FF94" s="239"/>
      <c r="FG94" s="239"/>
      <c r="FH94" s="239"/>
      <c r="FI94" s="239"/>
      <c r="FJ94" s="239"/>
      <c r="FK94" s="239"/>
      <c r="FL94" s="239"/>
      <c r="FM94" s="239"/>
      <c r="FN94" s="239"/>
      <c r="FO94" s="239"/>
      <c r="FP94" s="239"/>
      <c r="FQ94" s="239"/>
      <c r="FR94" s="239"/>
      <c r="FS94" s="239"/>
      <c r="FT94" s="239"/>
      <c r="FU94" s="239"/>
      <c r="FV94" s="239"/>
      <c r="FW94" s="239"/>
    </row>
    <row r="95" spans="1:179" s="236" customFormat="1" ht="18">
      <c r="A95" s="248">
        <v>300</v>
      </c>
      <c r="B95" s="279">
        <v>2</v>
      </c>
      <c r="C95" s="279">
        <v>3.4</v>
      </c>
      <c r="D95" s="279">
        <v>4</v>
      </c>
      <c r="E95" s="279">
        <v>8.4</v>
      </c>
      <c r="F95" s="279">
        <v>11.2</v>
      </c>
      <c r="G95" s="279">
        <v>14</v>
      </c>
      <c r="H95" s="279">
        <v>17</v>
      </c>
      <c r="I95" s="279">
        <v>21</v>
      </c>
      <c r="J95" s="279">
        <v>28</v>
      </c>
      <c r="K95" s="279">
        <v>35</v>
      </c>
      <c r="L95" s="279">
        <v>42</v>
      </c>
      <c r="M95" s="279">
        <v>56</v>
      </c>
      <c r="N95" s="279">
        <v>70</v>
      </c>
      <c r="O95" s="279">
        <v>91</v>
      </c>
      <c r="P95" s="279">
        <v>112</v>
      </c>
      <c r="Q95" s="279">
        <v>140</v>
      </c>
      <c r="R95" s="260"/>
      <c r="S95" s="260"/>
      <c r="T95" s="260"/>
      <c r="AN95" s="239"/>
      <c r="AO95" s="239"/>
      <c r="AP95" s="239"/>
      <c r="AQ95" s="239"/>
      <c r="AR95" s="239"/>
      <c r="AS95" s="239"/>
      <c r="AT95" s="239"/>
      <c r="AU95" s="239"/>
      <c r="AV95" s="239"/>
      <c r="AW95" s="239"/>
      <c r="AX95" s="239"/>
      <c r="AY95" s="239"/>
      <c r="AZ95" s="239"/>
      <c r="BA95" s="239"/>
      <c r="BB95" s="239"/>
      <c r="BC95" s="239"/>
      <c r="BD95" s="239"/>
      <c r="BE95" s="239"/>
      <c r="BF95" s="239"/>
      <c r="BG95" s="239"/>
      <c r="BH95" s="239"/>
      <c r="BI95" s="239"/>
      <c r="BJ95" s="239"/>
      <c r="BK95" s="239"/>
      <c r="BL95" s="239"/>
      <c r="BM95" s="239"/>
      <c r="BN95" s="239"/>
      <c r="BO95" s="239"/>
      <c r="BP95" s="239"/>
      <c r="BQ95" s="239"/>
      <c r="BR95" s="239"/>
      <c r="BS95" s="239"/>
      <c r="BT95" s="239"/>
      <c r="BU95" s="239"/>
      <c r="BV95" s="239"/>
      <c r="BW95" s="239"/>
      <c r="BX95" s="239"/>
      <c r="BY95" s="239"/>
      <c r="BZ95" s="239"/>
      <c r="CA95" s="239"/>
      <c r="CB95" s="239"/>
      <c r="CC95" s="239"/>
      <c r="CD95" s="239"/>
      <c r="CE95" s="239"/>
      <c r="CF95" s="239"/>
      <c r="CG95" s="239"/>
      <c r="CH95" s="239"/>
      <c r="CI95" s="239"/>
      <c r="CJ95" s="239"/>
      <c r="CK95" s="239"/>
      <c r="CL95" s="239"/>
      <c r="CM95" s="239"/>
      <c r="CN95" s="239"/>
      <c r="CO95" s="239"/>
      <c r="CP95" s="239"/>
      <c r="CQ95" s="239"/>
      <c r="CR95" s="239"/>
      <c r="CS95" s="239"/>
      <c r="CT95" s="239"/>
      <c r="CU95" s="239"/>
      <c r="CV95" s="239"/>
      <c r="CW95" s="239"/>
      <c r="CX95" s="239"/>
      <c r="CY95" s="239"/>
      <c r="CZ95" s="239"/>
      <c r="DA95" s="239"/>
      <c r="DB95" s="239"/>
      <c r="DC95" s="239"/>
      <c r="DD95" s="239"/>
      <c r="DE95" s="239"/>
      <c r="DF95" s="239"/>
      <c r="DG95" s="239"/>
      <c r="DH95" s="239"/>
      <c r="DI95" s="239"/>
      <c r="DJ95" s="239"/>
      <c r="DK95" s="239"/>
      <c r="DL95" s="239"/>
      <c r="DM95" s="239"/>
      <c r="DN95" s="239"/>
      <c r="DO95" s="239"/>
      <c r="DP95" s="239"/>
      <c r="DQ95" s="239"/>
      <c r="DR95" s="239"/>
      <c r="DS95" s="239"/>
      <c r="DT95" s="239"/>
      <c r="DU95" s="239"/>
      <c r="DV95" s="239"/>
      <c r="DW95" s="239"/>
      <c r="DX95" s="239"/>
      <c r="DY95" s="239"/>
      <c r="DZ95" s="239"/>
      <c r="EA95" s="239"/>
      <c r="EB95" s="239"/>
      <c r="EC95" s="239"/>
      <c r="ED95" s="239"/>
      <c r="EE95" s="239"/>
      <c r="EF95" s="239"/>
      <c r="EG95" s="239"/>
      <c r="EH95" s="239"/>
      <c r="EI95" s="239"/>
      <c r="EJ95" s="239"/>
      <c r="EK95" s="239"/>
      <c r="EL95" s="239"/>
      <c r="EM95" s="239"/>
      <c r="EN95" s="239"/>
      <c r="EO95" s="239"/>
      <c r="EP95" s="239"/>
      <c r="EQ95" s="239"/>
      <c r="ER95" s="239"/>
      <c r="ES95" s="239"/>
      <c r="ET95" s="239"/>
      <c r="EU95" s="239"/>
      <c r="EV95" s="239"/>
      <c r="EW95" s="239"/>
      <c r="EX95" s="239"/>
      <c r="EY95" s="239"/>
      <c r="EZ95" s="239"/>
      <c r="FA95" s="239"/>
      <c r="FB95" s="239"/>
      <c r="FC95" s="239"/>
      <c r="FD95" s="239"/>
      <c r="FE95" s="239"/>
      <c r="FF95" s="239"/>
      <c r="FG95" s="239"/>
      <c r="FH95" s="239"/>
      <c r="FI95" s="239"/>
      <c r="FJ95" s="239"/>
      <c r="FK95" s="239"/>
      <c r="FL95" s="239"/>
      <c r="FM95" s="239"/>
      <c r="FN95" s="239"/>
      <c r="FO95" s="239"/>
      <c r="FP95" s="239"/>
      <c r="FQ95" s="239"/>
      <c r="FR95" s="239"/>
      <c r="FS95" s="239"/>
      <c r="FT95" s="239"/>
      <c r="FU95" s="239"/>
      <c r="FV95" s="239"/>
      <c r="FW95" s="239"/>
    </row>
    <row r="96" spans="1:179" s="236" customFormat="1" ht="18">
      <c r="A96" s="248">
        <v>180</v>
      </c>
      <c r="B96" s="279">
        <v>2.1</v>
      </c>
      <c r="C96" s="279">
        <v>3.4</v>
      </c>
      <c r="D96" s="279">
        <v>4.0999999999999996</v>
      </c>
      <c r="E96" s="279">
        <v>8.4</v>
      </c>
      <c r="F96" s="279">
        <v>11.2</v>
      </c>
      <c r="G96" s="279">
        <v>14</v>
      </c>
      <c r="H96" s="279">
        <v>17.3</v>
      </c>
      <c r="I96" s="279">
        <v>21.2</v>
      </c>
      <c r="J96" s="279">
        <v>28.8</v>
      </c>
      <c r="K96" s="279">
        <v>35.799999999999997</v>
      </c>
      <c r="L96" s="279">
        <v>43</v>
      </c>
      <c r="M96" s="279">
        <v>57</v>
      </c>
      <c r="N96" s="279">
        <v>71</v>
      </c>
      <c r="O96" s="279">
        <v>93</v>
      </c>
      <c r="P96" s="279">
        <v>114</v>
      </c>
      <c r="Q96" s="279">
        <v>142</v>
      </c>
      <c r="R96" s="260"/>
      <c r="S96" s="260"/>
      <c r="T96" s="260"/>
      <c r="AN96" s="239"/>
      <c r="AO96" s="239"/>
      <c r="AP96" s="239"/>
      <c r="AQ96" s="239"/>
      <c r="AR96" s="239"/>
      <c r="AS96" s="239"/>
      <c r="AT96" s="239"/>
      <c r="AU96" s="239"/>
      <c r="AV96" s="239"/>
      <c r="AW96" s="239"/>
      <c r="AX96" s="239"/>
      <c r="AY96" s="239"/>
      <c r="AZ96" s="239"/>
      <c r="BA96" s="239"/>
      <c r="BB96" s="239"/>
      <c r="BC96" s="239"/>
      <c r="BD96" s="239"/>
      <c r="BE96" s="239"/>
      <c r="BF96" s="239"/>
      <c r="BG96" s="239"/>
      <c r="BH96" s="239"/>
      <c r="BI96" s="239"/>
      <c r="BJ96" s="239"/>
      <c r="BK96" s="239"/>
      <c r="BL96" s="239"/>
      <c r="BM96" s="239"/>
      <c r="BN96" s="239"/>
      <c r="BO96" s="239"/>
      <c r="BP96" s="239"/>
      <c r="BQ96" s="239"/>
      <c r="BR96" s="239"/>
      <c r="BS96" s="239"/>
      <c r="BT96" s="239"/>
      <c r="BU96" s="239"/>
      <c r="BV96" s="239"/>
      <c r="BW96" s="239"/>
      <c r="BX96" s="239"/>
      <c r="BY96" s="239"/>
      <c r="BZ96" s="239"/>
      <c r="CA96" s="239"/>
      <c r="CB96" s="239"/>
      <c r="CC96" s="239"/>
      <c r="CD96" s="239"/>
      <c r="CE96" s="239"/>
      <c r="CF96" s="239"/>
      <c r="CG96" s="239"/>
      <c r="CH96" s="239"/>
      <c r="CI96" s="239"/>
      <c r="CJ96" s="239"/>
      <c r="CK96" s="239"/>
      <c r="CL96" s="239"/>
      <c r="CM96" s="239"/>
      <c r="CN96" s="239"/>
      <c r="CO96" s="239"/>
      <c r="CP96" s="239"/>
      <c r="CQ96" s="239"/>
      <c r="CR96" s="239"/>
      <c r="CS96" s="239"/>
      <c r="CT96" s="239"/>
      <c r="CU96" s="239"/>
      <c r="CV96" s="239"/>
      <c r="CW96" s="239"/>
      <c r="CX96" s="239"/>
      <c r="CY96" s="239"/>
      <c r="CZ96" s="239"/>
      <c r="DA96" s="239"/>
      <c r="DB96" s="239"/>
      <c r="DC96" s="239"/>
      <c r="DD96" s="239"/>
      <c r="DE96" s="239"/>
      <c r="DF96" s="239"/>
      <c r="DG96" s="239"/>
      <c r="DH96" s="239"/>
      <c r="DI96" s="239"/>
      <c r="DJ96" s="239"/>
      <c r="DK96" s="239"/>
      <c r="DL96" s="239"/>
      <c r="DM96" s="239"/>
      <c r="DN96" s="239"/>
      <c r="DO96" s="239"/>
      <c r="DP96" s="239"/>
      <c r="DQ96" s="239"/>
      <c r="DR96" s="239"/>
      <c r="DS96" s="239"/>
      <c r="DT96" s="239"/>
      <c r="DU96" s="239"/>
      <c r="DV96" s="239"/>
      <c r="DW96" s="239"/>
      <c r="DX96" s="239"/>
      <c r="DY96" s="239"/>
      <c r="DZ96" s="239"/>
      <c r="EA96" s="239"/>
      <c r="EB96" s="239"/>
      <c r="EC96" s="239"/>
      <c r="ED96" s="239"/>
      <c r="EE96" s="239"/>
      <c r="EF96" s="239"/>
      <c r="EG96" s="239"/>
      <c r="EH96" s="239"/>
      <c r="EI96" s="239"/>
      <c r="EJ96" s="239"/>
      <c r="EK96" s="239"/>
      <c r="EL96" s="239"/>
      <c r="EM96" s="239"/>
      <c r="EN96" s="239"/>
      <c r="EO96" s="239"/>
      <c r="EP96" s="239"/>
      <c r="EQ96" s="239"/>
      <c r="ER96" s="239"/>
      <c r="ES96" s="239"/>
      <c r="ET96" s="239"/>
      <c r="EU96" s="239"/>
      <c r="EV96" s="239"/>
      <c r="EW96" s="239"/>
      <c r="EX96" s="239"/>
      <c r="EY96" s="239"/>
      <c r="EZ96" s="239"/>
      <c r="FA96" s="239"/>
      <c r="FB96" s="239"/>
      <c r="FC96" s="239"/>
      <c r="FD96" s="239"/>
      <c r="FE96" s="239"/>
      <c r="FF96" s="239"/>
      <c r="FG96" s="239"/>
      <c r="FH96" s="239"/>
      <c r="FI96" s="239"/>
      <c r="FJ96" s="239"/>
      <c r="FK96" s="239"/>
      <c r="FL96" s="239"/>
      <c r="FM96" s="239"/>
      <c r="FN96" s="239"/>
      <c r="FO96" s="239"/>
      <c r="FP96" s="239"/>
      <c r="FQ96" s="239"/>
      <c r="FR96" s="239"/>
      <c r="FS96" s="239"/>
      <c r="FT96" s="239"/>
      <c r="FU96" s="239"/>
      <c r="FV96" s="239"/>
      <c r="FW96" s="239"/>
    </row>
    <row r="97" spans="1:179" s="236" customFormat="1" ht="18">
      <c r="A97" s="248">
        <v>120</v>
      </c>
      <c r="B97" s="279">
        <v>2.1</v>
      </c>
      <c r="C97" s="279">
        <v>3.6</v>
      </c>
      <c r="D97" s="279">
        <v>4.2</v>
      </c>
      <c r="E97" s="279">
        <v>8.5</v>
      </c>
      <c r="F97" s="279">
        <v>11.3</v>
      </c>
      <c r="G97" s="279">
        <v>14.3</v>
      </c>
      <c r="H97" s="279">
        <v>17.5</v>
      </c>
      <c r="I97" s="279">
        <v>21.5</v>
      </c>
      <c r="J97" s="279">
        <v>29</v>
      </c>
      <c r="K97" s="279">
        <v>36</v>
      </c>
      <c r="L97" s="279">
        <v>44</v>
      </c>
      <c r="M97" s="279">
        <v>59</v>
      </c>
      <c r="N97" s="279">
        <v>72</v>
      </c>
      <c r="O97" s="279">
        <v>96</v>
      </c>
      <c r="P97" s="279">
        <v>117</v>
      </c>
      <c r="Q97" s="279">
        <v>147</v>
      </c>
      <c r="R97" s="260"/>
      <c r="S97" s="260"/>
      <c r="T97" s="260"/>
      <c r="AN97" s="239"/>
      <c r="AO97" s="239"/>
      <c r="AP97" s="239"/>
      <c r="AQ97" s="239"/>
      <c r="AR97" s="239"/>
      <c r="AS97" s="239"/>
      <c r="AT97" s="239"/>
      <c r="AU97" s="239"/>
      <c r="AV97" s="239"/>
      <c r="AW97" s="239"/>
      <c r="AX97" s="239"/>
      <c r="AY97" s="239"/>
      <c r="AZ97" s="239"/>
      <c r="BA97" s="239"/>
      <c r="BB97" s="239"/>
      <c r="BC97" s="239"/>
      <c r="BD97" s="239"/>
      <c r="BE97" s="239"/>
      <c r="BF97" s="239"/>
      <c r="BG97" s="239"/>
      <c r="BH97" s="239"/>
      <c r="BI97" s="239"/>
      <c r="BJ97" s="239"/>
      <c r="BK97" s="239"/>
      <c r="BL97" s="239"/>
      <c r="BM97" s="239"/>
      <c r="BN97" s="239"/>
      <c r="BO97" s="239"/>
      <c r="BP97" s="239"/>
      <c r="BQ97" s="239"/>
      <c r="BR97" s="239"/>
      <c r="BS97" s="239"/>
      <c r="BT97" s="239"/>
      <c r="BU97" s="239"/>
      <c r="BV97" s="239"/>
      <c r="BW97" s="239"/>
      <c r="BX97" s="239"/>
      <c r="BY97" s="239"/>
      <c r="BZ97" s="239"/>
      <c r="CA97" s="239"/>
      <c r="CB97" s="239"/>
      <c r="CC97" s="239"/>
      <c r="CD97" s="239"/>
      <c r="CE97" s="239"/>
      <c r="CF97" s="239"/>
      <c r="CG97" s="239"/>
      <c r="CH97" s="239"/>
      <c r="CI97" s="239"/>
      <c r="CJ97" s="239"/>
      <c r="CK97" s="239"/>
      <c r="CL97" s="239"/>
      <c r="CM97" s="239"/>
      <c r="CN97" s="239"/>
      <c r="CO97" s="239"/>
      <c r="CP97" s="239"/>
      <c r="CQ97" s="239"/>
      <c r="CR97" s="239"/>
      <c r="CS97" s="239"/>
      <c r="CT97" s="239"/>
      <c r="CU97" s="239"/>
      <c r="CV97" s="239"/>
      <c r="CW97" s="239"/>
      <c r="CX97" s="239"/>
      <c r="CY97" s="239"/>
      <c r="CZ97" s="239"/>
      <c r="DA97" s="239"/>
      <c r="DB97" s="239"/>
      <c r="DC97" s="239"/>
      <c r="DD97" s="239"/>
      <c r="DE97" s="239"/>
      <c r="DF97" s="239"/>
      <c r="DG97" s="239"/>
      <c r="DH97" s="239"/>
      <c r="DI97" s="239"/>
      <c r="DJ97" s="239"/>
      <c r="DK97" s="239"/>
      <c r="DL97" s="239"/>
      <c r="DM97" s="239"/>
      <c r="DN97" s="239"/>
      <c r="DO97" s="239"/>
      <c r="DP97" s="239"/>
      <c r="DQ97" s="239"/>
      <c r="DR97" s="239"/>
      <c r="DS97" s="239"/>
      <c r="DT97" s="239"/>
      <c r="DU97" s="239"/>
      <c r="DV97" s="239"/>
      <c r="DW97" s="239"/>
      <c r="DX97" s="239"/>
      <c r="DY97" s="239"/>
      <c r="DZ97" s="239"/>
      <c r="EA97" s="239"/>
      <c r="EB97" s="239"/>
      <c r="EC97" s="239"/>
      <c r="ED97" s="239"/>
      <c r="EE97" s="239"/>
      <c r="EF97" s="239"/>
      <c r="EG97" s="239"/>
      <c r="EH97" s="239"/>
      <c r="EI97" s="239"/>
      <c r="EJ97" s="239"/>
      <c r="EK97" s="239"/>
      <c r="EL97" s="239"/>
      <c r="EM97" s="239"/>
      <c r="EN97" s="239"/>
      <c r="EO97" s="239"/>
      <c r="EP97" s="239"/>
      <c r="EQ97" s="239"/>
      <c r="ER97" s="239"/>
      <c r="ES97" s="239"/>
      <c r="ET97" s="239"/>
      <c r="EU97" s="239"/>
      <c r="EV97" s="239"/>
      <c r="EW97" s="239"/>
      <c r="EX97" s="239"/>
      <c r="EY97" s="239"/>
      <c r="EZ97" s="239"/>
      <c r="FA97" s="239"/>
      <c r="FB97" s="239"/>
      <c r="FC97" s="239"/>
      <c r="FD97" s="239"/>
      <c r="FE97" s="239"/>
      <c r="FF97" s="239"/>
      <c r="FG97" s="239"/>
      <c r="FH97" s="239"/>
      <c r="FI97" s="239"/>
      <c r="FJ97" s="239"/>
      <c r="FK97" s="239"/>
      <c r="FL97" s="239"/>
      <c r="FM97" s="239"/>
      <c r="FN97" s="239"/>
      <c r="FO97" s="239"/>
      <c r="FP97" s="239"/>
      <c r="FQ97" s="239"/>
      <c r="FR97" s="239"/>
      <c r="FS97" s="239"/>
      <c r="FT97" s="239"/>
      <c r="FU97" s="239"/>
      <c r="FV97" s="239"/>
      <c r="FW97" s="239"/>
    </row>
    <row r="98" spans="1:179" s="236" customFormat="1" ht="18">
      <c r="A98" s="248">
        <v>60</v>
      </c>
      <c r="B98" s="279">
        <v>2.15</v>
      </c>
      <c r="C98" s="279">
        <v>3.6</v>
      </c>
      <c r="D98" s="279">
        <v>4.3</v>
      </c>
      <c r="E98" s="279">
        <v>8.6</v>
      </c>
      <c r="F98" s="279">
        <v>11.4</v>
      </c>
      <c r="G98" s="279">
        <v>14.7</v>
      </c>
      <c r="H98" s="279">
        <v>17.8</v>
      </c>
      <c r="I98" s="279">
        <v>22</v>
      </c>
      <c r="J98" s="279">
        <v>29.5</v>
      </c>
      <c r="K98" s="279">
        <v>37</v>
      </c>
      <c r="L98" s="279">
        <v>45</v>
      </c>
      <c r="M98" s="279">
        <v>60</v>
      </c>
      <c r="N98" s="279">
        <v>74</v>
      </c>
      <c r="O98" s="279">
        <v>99</v>
      </c>
      <c r="P98" s="279">
        <v>120</v>
      </c>
      <c r="Q98" s="279">
        <v>148</v>
      </c>
      <c r="R98" s="260"/>
      <c r="S98" s="260"/>
      <c r="T98" s="260"/>
      <c r="AN98" s="239"/>
      <c r="AO98" s="239"/>
      <c r="AP98" s="239"/>
      <c r="AQ98" s="239"/>
      <c r="AR98" s="239"/>
      <c r="AS98" s="239"/>
      <c r="AT98" s="239"/>
      <c r="AU98" s="239"/>
      <c r="AV98" s="239"/>
      <c r="AW98" s="239"/>
      <c r="AX98" s="239"/>
      <c r="AY98" s="239"/>
      <c r="AZ98" s="239"/>
      <c r="BA98" s="239"/>
      <c r="BB98" s="239"/>
      <c r="BC98" s="239"/>
      <c r="BD98" s="239"/>
      <c r="BE98" s="239"/>
      <c r="BF98" s="239"/>
      <c r="BG98" s="239"/>
      <c r="BH98" s="239"/>
      <c r="BI98" s="239"/>
      <c r="BJ98" s="239"/>
      <c r="BK98" s="239"/>
      <c r="BL98" s="239"/>
      <c r="BM98" s="239"/>
      <c r="BN98" s="239"/>
      <c r="BO98" s="239"/>
      <c r="BP98" s="239"/>
      <c r="BQ98" s="239"/>
      <c r="BR98" s="239"/>
      <c r="BS98" s="239"/>
      <c r="BT98" s="239"/>
      <c r="BU98" s="239"/>
      <c r="BV98" s="239"/>
      <c r="BW98" s="239"/>
      <c r="BX98" s="239"/>
      <c r="BY98" s="239"/>
      <c r="BZ98" s="239"/>
      <c r="CA98" s="239"/>
      <c r="CB98" s="239"/>
      <c r="CC98" s="239"/>
      <c r="CD98" s="239"/>
      <c r="CE98" s="239"/>
      <c r="CF98" s="239"/>
      <c r="CG98" s="239"/>
      <c r="CH98" s="239"/>
      <c r="CI98" s="239"/>
      <c r="CJ98" s="239"/>
      <c r="CK98" s="239"/>
      <c r="CL98" s="239"/>
      <c r="CM98" s="239"/>
      <c r="CN98" s="239"/>
      <c r="CO98" s="239"/>
      <c r="CP98" s="239"/>
      <c r="CQ98" s="239"/>
      <c r="CR98" s="239"/>
      <c r="CS98" s="239"/>
      <c r="CT98" s="239"/>
      <c r="CU98" s="239"/>
      <c r="CV98" s="239"/>
      <c r="CW98" s="239"/>
      <c r="CX98" s="239"/>
      <c r="CY98" s="239"/>
      <c r="CZ98" s="239"/>
      <c r="DA98" s="239"/>
      <c r="DB98" s="239"/>
      <c r="DC98" s="239"/>
      <c r="DD98" s="239"/>
      <c r="DE98" s="239"/>
      <c r="DF98" s="239"/>
      <c r="DG98" s="239"/>
      <c r="DH98" s="239"/>
      <c r="DI98" s="239"/>
      <c r="DJ98" s="239"/>
      <c r="DK98" s="239"/>
      <c r="DL98" s="239"/>
      <c r="DM98" s="239"/>
      <c r="DN98" s="239"/>
      <c r="DO98" s="239"/>
      <c r="DP98" s="239"/>
      <c r="DQ98" s="239"/>
      <c r="DR98" s="239"/>
      <c r="DS98" s="239"/>
      <c r="DT98" s="239"/>
      <c r="DU98" s="239"/>
      <c r="DV98" s="239"/>
      <c r="DW98" s="239"/>
      <c r="DX98" s="239"/>
      <c r="DY98" s="239"/>
      <c r="DZ98" s="239"/>
      <c r="EA98" s="239"/>
      <c r="EB98" s="239"/>
      <c r="EC98" s="239"/>
      <c r="ED98" s="239"/>
      <c r="EE98" s="239"/>
      <c r="EF98" s="239"/>
      <c r="EG98" s="239"/>
      <c r="EH98" s="239"/>
      <c r="EI98" s="239"/>
      <c r="EJ98" s="239"/>
      <c r="EK98" s="239"/>
      <c r="EL98" s="239"/>
      <c r="EM98" s="239"/>
      <c r="EN98" s="239"/>
      <c r="EO98" s="239"/>
      <c r="EP98" s="239"/>
      <c r="EQ98" s="239"/>
      <c r="ER98" s="239"/>
      <c r="ES98" s="239"/>
      <c r="ET98" s="239"/>
      <c r="EU98" s="239"/>
      <c r="EV98" s="239"/>
      <c r="EW98" s="239"/>
      <c r="EX98" s="239"/>
      <c r="EY98" s="239"/>
      <c r="EZ98" s="239"/>
      <c r="FA98" s="239"/>
      <c r="FB98" s="239"/>
      <c r="FC98" s="239"/>
      <c r="FD98" s="239"/>
      <c r="FE98" s="239"/>
      <c r="FF98" s="239"/>
      <c r="FG98" s="239"/>
      <c r="FH98" s="239"/>
      <c r="FI98" s="239"/>
      <c r="FJ98" s="239"/>
      <c r="FK98" s="239"/>
      <c r="FL98" s="239"/>
      <c r="FM98" s="239"/>
      <c r="FN98" s="239"/>
      <c r="FO98" s="239"/>
      <c r="FP98" s="239"/>
      <c r="FQ98" s="239"/>
      <c r="FR98" s="239"/>
      <c r="FS98" s="239"/>
      <c r="FT98" s="239"/>
      <c r="FU98" s="239"/>
      <c r="FV98" s="239"/>
      <c r="FW98" s="239"/>
    </row>
    <row r="99" spans="1:179" s="236" customFormat="1" ht="18">
      <c r="A99" s="248">
        <v>30</v>
      </c>
      <c r="B99" s="279">
        <v>2.2000000000000002</v>
      </c>
      <c r="C99" s="279">
        <v>3.7</v>
      </c>
      <c r="D99" s="279">
        <v>4.4000000000000004</v>
      </c>
      <c r="E99" s="279">
        <v>8.8000000000000007</v>
      </c>
      <c r="F99" s="279">
        <v>11.7</v>
      </c>
      <c r="G99" s="279">
        <v>15</v>
      </c>
      <c r="H99" s="279">
        <v>18</v>
      </c>
      <c r="I99" s="279">
        <v>23</v>
      </c>
      <c r="J99" s="279">
        <v>30</v>
      </c>
      <c r="K99" s="279">
        <v>38</v>
      </c>
      <c r="L99" s="279">
        <v>46</v>
      </c>
      <c r="M99" s="279">
        <v>61</v>
      </c>
      <c r="N99" s="279">
        <v>76</v>
      </c>
      <c r="O99" s="279">
        <v>100</v>
      </c>
      <c r="P99" s="279">
        <v>123</v>
      </c>
      <c r="Q99" s="279">
        <v>152</v>
      </c>
      <c r="R99" s="260"/>
      <c r="S99" s="260"/>
      <c r="T99" s="260"/>
      <c r="AN99" s="239"/>
      <c r="AO99" s="239"/>
      <c r="AP99" s="239"/>
      <c r="AQ99" s="239"/>
      <c r="AR99" s="239"/>
      <c r="AS99" s="239"/>
      <c r="AT99" s="239"/>
      <c r="AU99" s="239"/>
      <c r="AV99" s="239"/>
      <c r="AW99" s="239"/>
      <c r="AX99" s="239"/>
      <c r="AY99" s="239"/>
      <c r="AZ99" s="239"/>
      <c r="BA99" s="239"/>
      <c r="BB99" s="239"/>
      <c r="BC99" s="239"/>
      <c r="BD99" s="239"/>
      <c r="BE99" s="239"/>
      <c r="BF99" s="239"/>
      <c r="BG99" s="239"/>
      <c r="BH99" s="239"/>
      <c r="BI99" s="239"/>
      <c r="BJ99" s="239"/>
      <c r="BK99" s="239"/>
      <c r="BL99" s="239"/>
      <c r="BM99" s="239"/>
      <c r="BN99" s="239"/>
      <c r="BO99" s="239"/>
      <c r="BP99" s="239"/>
      <c r="BQ99" s="239"/>
      <c r="BR99" s="239"/>
      <c r="BS99" s="239"/>
      <c r="BT99" s="239"/>
      <c r="BU99" s="239"/>
      <c r="BV99" s="239"/>
      <c r="BW99" s="239"/>
      <c r="BX99" s="239"/>
      <c r="BY99" s="239"/>
      <c r="BZ99" s="239"/>
      <c r="CA99" s="239"/>
      <c r="CB99" s="239"/>
      <c r="CC99" s="239"/>
      <c r="CD99" s="239"/>
      <c r="CE99" s="239"/>
      <c r="CF99" s="239"/>
      <c r="CG99" s="239"/>
      <c r="CH99" s="239"/>
      <c r="CI99" s="239"/>
      <c r="CJ99" s="239"/>
      <c r="CK99" s="239"/>
      <c r="CL99" s="239"/>
      <c r="CM99" s="239"/>
      <c r="CN99" s="239"/>
      <c r="CO99" s="239"/>
      <c r="CP99" s="239"/>
      <c r="CQ99" s="239"/>
      <c r="CR99" s="239"/>
      <c r="CS99" s="239"/>
      <c r="CT99" s="239"/>
      <c r="CU99" s="239"/>
      <c r="CV99" s="239"/>
      <c r="CW99" s="239"/>
      <c r="CX99" s="239"/>
      <c r="CY99" s="239"/>
      <c r="CZ99" s="239"/>
      <c r="DA99" s="239"/>
      <c r="DB99" s="239"/>
      <c r="DC99" s="239"/>
      <c r="DD99" s="239"/>
      <c r="DE99" s="239"/>
      <c r="DF99" s="239"/>
      <c r="DG99" s="239"/>
      <c r="DH99" s="239"/>
      <c r="DI99" s="239"/>
      <c r="DJ99" s="239"/>
      <c r="DK99" s="239"/>
      <c r="DL99" s="239"/>
      <c r="DM99" s="239"/>
      <c r="DN99" s="239"/>
      <c r="DO99" s="239"/>
      <c r="DP99" s="239"/>
      <c r="DQ99" s="239"/>
      <c r="DR99" s="239"/>
      <c r="DS99" s="239"/>
      <c r="DT99" s="239"/>
      <c r="DU99" s="239"/>
      <c r="DV99" s="239"/>
      <c r="DW99" s="239"/>
      <c r="DX99" s="239"/>
      <c r="DY99" s="239"/>
      <c r="DZ99" s="239"/>
      <c r="EA99" s="239"/>
      <c r="EB99" s="239"/>
      <c r="EC99" s="239"/>
      <c r="ED99" s="239"/>
      <c r="EE99" s="239"/>
      <c r="EF99" s="239"/>
      <c r="EG99" s="239"/>
      <c r="EH99" s="239"/>
      <c r="EI99" s="239"/>
      <c r="EJ99" s="239"/>
      <c r="EK99" s="239"/>
      <c r="EL99" s="239"/>
      <c r="EM99" s="239"/>
      <c r="EN99" s="239"/>
      <c r="EO99" s="239"/>
      <c r="EP99" s="239"/>
      <c r="EQ99" s="239"/>
      <c r="ER99" s="239"/>
      <c r="ES99" s="239"/>
      <c r="ET99" s="239"/>
      <c r="EU99" s="239"/>
      <c r="EV99" s="239"/>
      <c r="EW99" s="239"/>
      <c r="EX99" s="239"/>
      <c r="EY99" s="239"/>
      <c r="EZ99" s="239"/>
      <c r="FA99" s="239"/>
      <c r="FB99" s="239"/>
      <c r="FC99" s="239"/>
      <c r="FD99" s="239"/>
      <c r="FE99" s="239"/>
      <c r="FF99" s="239"/>
      <c r="FG99" s="239"/>
      <c r="FH99" s="239"/>
      <c r="FI99" s="239"/>
      <c r="FJ99" s="239"/>
      <c r="FK99" s="239"/>
      <c r="FL99" s="239"/>
      <c r="FM99" s="239"/>
      <c r="FN99" s="239"/>
      <c r="FO99" s="239"/>
      <c r="FP99" s="239"/>
      <c r="FQ99" s="239"/>
      <c r="FR99" s="239"/>
      <c r="FS99" s="239"/>
      <c r="FT99" s="239"/>
      <c r="FU99" s="239"/>
      <c r="FV99" s="239"/>
      <c r="FW99" s="239"/>
    </row>
    <row r="100" spans="1:179" s="236" customFormat="1" ht="18">
      <c r="A100" s="248">
        <v>10</v>
      </c>
      <c r="B100" s="279">
        <v>2.2999999999999998</v>
      </c>
      <c r="C100" s="279">
        <v>3.8</v>
      </c>
      <c r="D100" s="279">
        <v>4.5</v>
      </c>
      <c r="E100" s="279">
        <v>9</v>
      </c>
      <c r="F100" s="279">
        <v>12</v>
      </c>
      <c r="G100" s="279">
        <v>16</v>
      </c>
      <c r="H100" s="279">
        <v>19</v>
      </c>
      <c r="I100" s="279">
        <v>24</v>
      </c>
      <c r="J100" s="279">
        <v>32</v>
      </c>
      <c r="K100" s="279">
        <v>40</v>
      </c>
      <c r="L100" s="279">
        <v>48</v>
      </c>
      <c r="M100" s="279">
        <v>65</v>
      </c>
      <c r="N100" s="279">
        <v>80</v>
      </c>
      <c r="O100" s="279">
        <v>108</v>
      </c>
      <c r="P100" s="279">
        <v>130</v>
      </c>
      <c r="Q100" s="279">
        <v>160</v>
      </c>
      <c r="R100" s="260"/>
      <c r="S100" s="260"/>
      <c r="T100" s="260"/>
      <c r="AN100" s="239"/>
      <c r="AO100" s="239"/>
      <c r="AP100" s="239"/>
      <c r="AQ100" s="239"/>
      <c r="AR100" s="239"/>
      <c r="AS100" s="239"/>
      <c r="AT100" s="239"/>
      <c r="AU100" s="239"/>
      <c r="AV100" s="239"/>
      <c r="AW100" s="239"/>
      <c r="AX100" s="239"/>
      <c r="AY100" s="239"/>
      <c r="AZ100" s="239"/>
      <c r="BA100" s="239"/>
      <c r="BB100" s="239"/>
      <c r="BC100" s="239"/>
      <c r="BD100" s="239"/>
      <c r="BE100" s="239"/>
      <c r="BF100" s="239"/>
      <c r="BG100" s="239"/>
      <c r="BH100" s="239"/>
      <c r="BI100" s="239"/>
      <c r="BJ100" s="239"/>
      <c r="BK100" s="239"/>
      <c r="BL100" s="239"/>
      <c r="BM100" s="239"/>
      <c r="BN100" s="239"/>
      <c r="BO100" s="239"/>
      <c r="BP100" s="239"/>
      <c r="BQ100" s="239"/>
      <c r="BR100" s="239"/>
      <c r="BS100" s="239"/>
      <c r="BT100" s="239"/>
      <c r="BU100" s="239"/>
      <c r="BV100" s="239"/>
      <c r="BW100" s="239"/>
      <c r="BX100" s="239"/>
      <c r="BY100" s="239"/>
      <c r="BZ100" s="239"/>
      <c r="CA100" s="239"/>
      <c r="CB100" s="239"/>
      <c r="CC100" s="239"/>
      <c r="CD100" s="239"/>
      <c r="CE100" s="239"/>
      <c r="CF100" s="239"/>
      <c r="CG100" s="239"/>
      <c r="CH100" s="239"/>
      <c r="CI100" s="239"/>
      <c r="CJ100" s="239"/>
      <c r="CK100" s="239"/>
      <c r="CL100" s="239"/>
      <c r="CM100" s="239"/>
      <c r="CN100" s="239"/>
      <c r="CO100" s="239"/>
      <c r="CP100" s="239"/>
      <c r="CQ100" s="239"/>
      <c r="CR100" s="239"/>
      <c r="CS100" s="239"/>
      <c r="CT100" s="239"/>
      <c r="CU100" s="239"/>
      <c r="CV100" s="239"/>
      <c r="CW100" s="239"/>
      <c r="CX100" s="239"/>
      <c r="CY100" s="239"/>
      <c r="CZ100" s="239"/>
      <c r="DA100" s="239"/>
      <c r="DB100" s="239"/>
      <c r="DC100" s="239"/>
      <c r="DD100" s="239"/>
      <c r="DE100" s="239"/>
      <c r="DF100" s="239"/>
      <c r="DG100" s="239"/>
      <c r="DH100" s="239"/>
      <c r="DI100" s="239"/>
      <c r="DJ100" s="239"/>
      <c r="DK100" s="239"/>
      <c r="DL100" s="239"/>
      <c r="DM100" s="239"/>
      <c r="DN100" s="239"/>
      <c r="DO100" s="239"/>
      <c r="DP100" s="239"/>
      <c r="DQ100" s="239"/>
      <c r="DR100" s="239"/>
      <c r="DS100" s="239"/>
      <c r="DT100" s="239"/>
      <c r="DU100" s="239"/>
      <c r="DV100" s="239"/>
      <c r="DW100" s="239"/>
      <c r="DX100" s="239"/>
      <c r="DY100" s="239"/>
      <c r="DZ100" s="239"/>
      <c r="EA100" s="239"/>
      <c r="EB100" s="239"/>
      <c r="EC100" s="239"/>
      <c r="ED100" s="239"/>
      <c r="EE100" s="239"/>
      <c r="EF100" s="239"/>
      <c r="EG100" s="239"/>
      <c r="EH100" s="239"/>
      <c r="EI100" s="239"/>
      <c r="EJ100" s="239"/>
      <c r="EK100" s="239"/>
      <c r="EL100" s="239"/>
      <c r="EM100" s="239"/>
      <c r="EN100" s="239"/>
      <c r="EO100" s="239"/>
      <c r="EP100" s="239"/>
      <c r="EQ100" s="239"/>
      <c r="ER100" s="239"/>
      <c r="ES100" s="239"/>
      <c r="ET100" s="239"/>
      <c r="EU100" s="239"/>
      <c r="EV100" s="239"/>
      <c r="EW100" s="239"/>
      <c r="EX100" s="239"/>
      <c r="EY100" s="239"/>
      <c r="EZ100" s="239"/>
      <c r="FA100" s="239"/>
      <c r="FB100" s="239"/>
      <c r="FC100" s="239"/>
      <c r="FD100" s="239"/>
      <c r="FE100" s="239"/>
      <c r="FF100" s="239"/>
      <c r="FG100" s="239"/>
      <c r="FH100" s="239"/>
      <c r="FI100" s="239"/>
      <c r="FJ100" s="239"/>
      <c r="FK100" s="239"/>
      <c r="FL100" s="239"/>
      <c r="FM100" s="239"/>
      <c r="FN100" s="239"/>
      <c r="FO100" s="239"/>
      <c r="FP100" s="239"/>
      <c r="FQ100" s="239"/>
      <c r="FR100" s="239"/>
      <c r="FS100" s="239"/>
      <c r="FT100" s="239"/>
      <c r="FU100" s="239"/>
      <c r="FV100" s="239"/>
      <c r="FW100" s="239"/>
    </row>
    <row r="101" spans="1:179" s="236" customFormat="1" ht="18">
      <c r="A101" s="248">
        <v>4</v>
      </c>
      <c r="B101" s="279">
        <v>2.6</v>
      </c>
      <c r="C101" s="279">
        <v>4.2</v>
      </c>
      <c r="D101" s="279">
        <v>5.2</v>
      </c>
      <c r="E101" s="279">
        <v>9.8000000000000007</v>
      </c>
      <c r="F101" s="279">
        <v>12.7</v>
      </c>
      <c r="G101" s="279">
        <v>16.8</v>
      </c>
      <c r="H101" s="279">
        <v>20</v>
      </c>
      <c r="I101" s="279">
        <v>25</v>
      </c>
      <c r="J101" s="279">
        <v>33</v>
      </c>
      <c r="K101" s="279">
        <v>41</v>
      </c>
      <c r="L101" s="279">
        <v>50</v>
      </c>
      <c r="M101" s="279">
        <v>66</v>
      </c>
      <c r="N101" s="279">
        <v>83</v>
      </c>
      <c r="O101" s="279">
        <v>115</v>
      </c>
      <c r="P101" s="279">
        <v>140</v>
      </c>
      <c r="Q101" s="279">
        <v>190</v>
      </c>
      <c r="R101" s="260"/>
      <c r="S101" s="260"/>
      <c r="T101" s="260"/>
      <c r="AN101" s="239"/>
      <c r="AO101" s="239"/>
      <c r="AP101" s="239"/>
      <c r="AQ101" s="239"/>
      <c r="AR101" s="239"/>
      <c r="AS101" s="239"/>
      <c r="AT101" s="239"/>
      <c r="AU101" s="239"/>
      <c r="AV101" s="239"/>
      <c r="AW101" s="239"/>
      <c r="AX101" s="239"/>
      <c r="AY101" s="239"/>
      <c r="AZ101" s="239"/>
      <c r="BA101" s="239"/>
      <c r="BB101" s="239"/>
      <c r="BC101" s="239"/>
      <c r="BD101" s="239"/>
      <c r="BE101" s="239"/>
      <c r="BF101" s="239"/>
      <c r="BG101" s="239"/>
      <c r="BH101" s="239"/>
      <c r="BI101" s="239"/>
      <c r="BJ101" s="239"/>
      <c r="BK101" s="239"/>
      <c r="BL101" s="239"/>
      <c r="BM101" s="239"/>
      <c r="BN101" s="239"/>
      <c r="BO101" s="239"/>
      <c r="BP101" s="239"/>
      <c r="BQ101" s="239"/>
      <c r="BR101" s="239"/>
      <c r="BS101" s="239"/>
      <c r="BT101" s="239"/>
      <c r="BU101" s="239"/>
      <c r="BV101" s="239"/>
      <c r="BW101" s="239"/>
      <c r="BX101" s="239"/>
      <c r="BY101" s="239"/>
      <c r="BZ101" s="239"/>
      <c r="CA101" s="239"/>
      <c r="CB101" s="239"/>
      <c r="CC101" s="239"/>
      <c r="CD101" s="239"/>
      <c r="CE101" s="239"/>
      <c r="CF101" s="239"/>
      <c r="CG101" s="239"/>
      <c r="CH101" s="239"/>
      <c r="CI101" s="239"/>
      <c r="CJ101" s="239"/>
      <c r="CK101" s="239"/>
      <c r="CL101" s="239"/>
      <c r="CM101" s="239"/>
      <c r="CN101" s="239"/>
      <c r="CO101" s="239"/>
      <c r="CP101" s="239"/>
      <c r="CQ101" s="239"/>
      <c r="CR101" s="239"/>
      <c r="CS101" s="239"/>
      <c r="CT101" s="239"/>
      <c r="CU101" s="239"/>
      <c r="CV101" s="239"/>
      <c r="CW101" s="239"/>
      <c r="CX101" s="239"/>
      <c r="CY101" s="239"/>
      <c r="CZ101" s="239"/>
      <c r="DA101" s="239"/>
      <c r="DB101" s="239"/>
      <c r="DC101" s="239"/>
      <c r="DD101" s="239"/>
      <c r="DE101" s="239"/>
      <c r="DF101" s="239"/>
      <c r="DG101" s="239"/>
      <c r="DH101" s="239"/>
      <c r="DI101" s="239"/>
      <c r="DJ101" s="239"/>
      <c r="DK101" s="239"/>
      <c r="DL101" s="239"/>
      <c r="DM101" s="239"/>
      <c r="DN101" s="239"/>
      <c r="DO101" s="239"/>
      <c r="DP101" s="239"/>
      <c r="DQ101" s="239"/>
      <c r="DR101" s="239"/>
      <c r="DS101" s="239"/>
      <c r="DT101" s="239"/>
      <c r="DU101" s="239"/>
      <c r="DV101" s="239"/>
      <c r="DW101" s="239"/>
      <c r="DX101" s="239"/>
      <c r="DY101" s="239"/>
      <c r="DZ101" s="239"/>
      <c r="EA101" s="239"/>
      <c r="EB101" s="239"/>
      <c r="EC101" s="239"/>
      <c r="ED101" s="239"/>
      <c r="EE101" s="239"/>
      <c r="EF101" s="239"/>
      <c r="EG101" s="239"/>
      <c r="EH101" s="239"/>
      <c r="EI101" s="239"/>
      <c r="EJ101" s="239"/>
      <c r="EK101" s="239"/>
      <c r="EL101" s="239"/>
      <c r="EM101" s="239"/>
      <c r="EN101" s="239"/>
      <c r="EO101" s="239"/>
      <c r="EP101" s="239"/>
      <c r="EQ101" s="239"/>
      <c r="ER101" s="239"/>
      <c r="ES101" s="239"/>
      <c r="ET101" s="239"/>
      <c r="EU101" s="239"/>
      <c r="EV101" s="239"/>
      <c r="EW101" s="239"/>
      <c r="EX101" s="239"/>
      <c r="EY101" s="239"/>
      <c r="EZ101" s="239"/>
      <c r="FA101" s="239"/>
      <c r="FB101" s="239"/>
      <c r="FC101" s="239"/>
      <c r="FD101" s="239"/>
      <c r="FE101" s="239"/>
      <c r="FF101" s="239"/>
      <c r="FG101" s="239"/>
      <c r="FH101" s="239"/>
      <c r="FI101" s="239"/>
      <c r="FJ101" s="239"/>
      <c r="FK101" s="239"/>
      <c r="FL101" s="239"/>
      <c r="FM101" s="239"/>
      <c r="FN101" s="239"/>
      <c r="FO101" s="239"/>
      <c r="FP101" s="239"/>
      <c r="FQ101" s="239"/>
      <c r="FR101" s="239"/>
      <c r="FS101" s="239"/>
      <c r="FT101" s="239"/>
      <c r="FU101" s="239"/>
      <c r="FV101" s="239"/>
      <c r="FW101" s="239"/>
    </row>
    <row r="102" spans="1:179" s="236" customFormat="1" ht="18">
      <c r="A102" s="248">
        <v>1</v>
      </c>
      <c r="B102" s="279">
        <v>4.5</v>
      </c>
      <c r="C102" s="279">
        <v>7.3</v>
      </c>
      <c r="D102" s="279">
        <v>10</v>
      </c>
      <c r="E102" s="279">
        <v>15.8</v>
      </c>
      <c r="F102" s="279">
        <v>19.2</v>
      </c>
      <c r="G102" s="279">
        <v>25</v>
      </c>
      <c r="H102" s="279">
        <v>29</v>
      </c>
      <c r="I102" s="279">
        <v>37</v>
      </c>
      <c r="J102" s="279">
        <v>47</v>
      </c>
      <c r="K102" s="279">
        <v>55</v>
      </c>
      <c r="L102" s="279">
        <v>70</v>
      </c>
      <c r="M102" s="279">
        <v>95</v>
      </c>
      <c r="N102" s="279">
        <v>110</v>
      </c>
      <c r="O102" s="279">
        <v>170</v>
      </c>
      <c r="P102" s="279">
        <v>230</v>
      </c>
      <c r="Q102" s="279">
        <v>290</v>
      </c>
      <c r="R102" s="260"/>
      <c r="S102" s="260"/>
      <c r="T102" s="260"/>
      <c r="AN102" s="239"/>
      <c r="AO102" s="239"/>
      <c r="AP102" s="239"/>
      <c r="AQ102" s="239"/>
      <c r="AR102" s="239"/>
      <c r="AS102" s="239"/>
      <c r="AT102" s="239"/>
      <c r="AU102" s="239"/>
      <c r="AV102" s="239"/>
      <c r="AW102" s="239"/>
      <c r="AX102" s="239"/>
      <c r="AY102" s="239"/>
      <c r="AZ102" s="239"/>
      <c r="BA102" s="239"/>
      <c r="BB102" s="239"/>
      <c r="BC102" s="239"/>
      <c r="BD102" s="239"/>
      <c r="BE102" s="239"/>
      <c r="BF102" s="239"/>
      <c r="BG102" s="239"/>
      <c r="BH102" s="239"/>
      <c r="BI102" s="239"/>
      <c r="BJ102" s="239"/>
      <c r="BK102" s="239"/>
      <c r="BL102" s="239"/>
      <c r="BM102" s="239"/>
      <c r="BN102" s="239"/>
      <c r="BO102" s="239"/>
      <c r="BP102" s="239"/>
      <c r="BQ102" s="239"/>
      <c r="BR102" s="239"/>
      <c r="BS102" s="239"/>
      <c r="BT102" s="239"/>
      <c r="BU102" s="239"/>
      <c r="BV102" s="239"/>
      <c r="BW102" s="239"/>
      <c r="BX102" s="239"/>
      <c r="BY102" s="239"/>
      <c r="BZ102" s="239"/>
      <c r="CA102" s="239"/>
      <c r="CB102" s="239"/>
      <c r="CC102" s="239"/>
      <c r="CD102" s="239"/>
      <c r="CE102" s="239"/>
      <c r="CF102" s="239"/>
      <c r="CG102" s="239"/>
      <c r="CH102" s="239"/>
      <c r="CI102" s="239"/>
      <c r="CJ102" s="239"/>
      <c r="CK102" s="239"/>
      <c r="CL102" s="239"/>
      <c r="CM102" s="239"/>
      <c r="CN102" s="239"/>
      <c r="CO102" s="239"/>
      <c r="CP102" s="239"/>
      <c r="CQ102" s="239"/>
      <c r="CR102" s="239"/>
      <c r="CS102" s="239"/>
      <c r="CT102" s="239"/>
      <c r="CU102" s="239"/>
      <c r="CV102" s="239"/>
      <c r="CW102" s="239"/>
      <c r="CX102" s="239"/>
      <c r="CY102" s="239"/>
      <c r="CZ102" s="239"/>
      <c r="DA102" s="239"/>
      <c r="DB102" s="239"/>
      <c r="DC102" s="239"/>
      <c r="DD102" s="239"/>
      <c r="DE102" s="239"/>
      <c r="DF102" s="239"/>
      <c r="DG102" s="239"/>
      <c r="DH102" s="239"/>
      <c r="DI102" s="239"/>
      <c r="DJ102" s="239"/>
      <c r="DK102" s="239"/>
      <c r="DL102" s="239"/>
      <c r="DM102" s="239"/>
      <c r="DN102" s="239"/>
      <c r="DO102" s="239"/>
      <c r="DP102" s="239"/>
      <c r="DQ102" s="239"/>
      <c r="DR102" s="239"/>
      <c r="DS102" s="239"/>
      <c r="DT102" s="239"/>
      <c r="DU102" s="239"/>
      <c r="DV102" s="239"/>
      <c r="DW102" s="239"/>
      <c r="DX102" s="239"/>
      <c r="DY102" s="239"/>
      <c r="DZ102" s="239"/>
      <c r="EA102" s="239"/>
      <c r="EB102" s="239"/>
      <c r="EC102" s="239"/>
      <c r="ED102" s="239"/>
      <c r="EE102" s="239"/>
      <c r="EF102" s="239"/>
      <c r="EG102" s="239"/>
      <c r="EH102" s="239"/>
      <c r="EI102" s="239"/>
      <c r="EJ102" s="239"/>
      <c r="EK102" s="239"/>
      <c r="EL102" s="239"/>
      <c r="EM102" s="239"/>
      <c r="EN102" s="239"/>
      <c r="EO102" s="239"/>
      <c r="EP102" s="239"/>
      <c r="EQ102" s="239"/>
      <c r="ER102" s="239"/>
      <c r="ES102" s="239"/>
      <c r="ET102" s="239"/>
      <c r="EU102" s="239"/>
      <c r="EV102" s="239"/>
      <c r="EW102" s="239"/>
      <c r="EX102" s="239"/>
      <c r="EY102" s="239"/>
      <c r="EZ102" s="239"/>
      <c r="FA102" s="239"/>
      <c r="FB102" s="239"/>
      <c r="FC102" s="239"/>
      <c r="FD102" s="239"/>
      <c r="FE102" s="239"/>
      <c r="FF102" s="239"/>
      <c r="FG102" s="239"/>
      <c r="FH102" s="239"/>
      <c r="FI102" s="239"/>
      <c r="FJ102" s="239"/>
      <c r="FK102" s="239"/>
      <c r="FL102" s="239"/>
      <c r="FM102" s="239"/>
      <c r="FN102" s="239"/>
      <c r="FO102" s="239"/>
      <c r="FP102" s="239"/>
      <c r="FQ102" s="239"/>
      <c r="FR102" s="239"/>
      <c r="FS102" s="239"/>
      <c r="FT102" s="239"/>
      <c r="FU102" s="239"/>
      <c r="FV102" s="239"/>
      <c r="FW102" s="239"/>
    </row>
    <row r="103" spans="1:179" s="236" customFormat="1" ht="18">
      <c r="A103" s="248">
        <v>0.5</v>
      </c>
      <c r="B103" s="279">
        <v>6.8</v>
      </c>
      <c r="C103" s="279">
        <v>11</v>
      </c>
      <c r="D103" s="279">
        <v>14.8</v>
      </c>
      <c r="E103" s="279">
        <v>22</v>
      </c>
      <c r="F103" s="279">
        <v>27</v>
      </c>
      <c r="G103" s="279">
        <v>35</v>
      </c>
      <c r="H103" s="279">
        <v>40</v>
      </c>
      <c r="I103" s="279">
        <v>51</v>
      </c>
      <c r="J103" s="279">
        <v>64</v>
      </c>
      <c r="K103" s="279">
        <v>75</v>
      </c>
      <c r="L103" s="279">
        <v>94</v>
      </c>
      <c r="M103" s="279">
        <v>130</v>
      </c>
      <c r="N103" s="279">
        <v>138</v>
      </c>
      <c r="O103" s="279">
        <v>225</v>
      </c>
      <c r="P103" s="279">
        <v>325</v>
      </c>
      <c r="Q103" s="279">
        <v>420</v>
      </c>
      <c r="R103" s="260"/>
      <c r="S103" s="260"/>
      <c r="T103" s="260"/>
      <c r="AN103" s="239"/>
      <c r="AO103" s="239"/>
      <c r="AP103" s="239"/>
      <c r="AQ103" s="239"/>
      <c r="AR103" s="239"/>
      <c r="AS103" s="239"/>
      <c r="AT103" s="239"/>
      <c r="AU103" s="239"/>
      <c r="AV103" s="239"/>
      <c r="AW103" s="239"/>
      <c r="AX103" s="239"/>
      <c r="AY103" s="239"/>
      <c r="AZ103" s="239"/>
      <c r="BA103" s="239"/>
      <c r="BB103" s="239"/>
      <c r="BC103" s="239"/>
      <c r="BD103" s="239"/>
      <c r="BE103" s="239"/>
      <c r="BF103" s="239"/>
      <c r="BG103" s="239"/>
      <c r="BH103" s="239"/>
      <c r="BI103" s="239"/>
      <c r="BJ103" s="239"/>
      <c r="BK103" s="239"/>
      <c r="BL103" s="239"/>
      <c r="BM103" s="239"/>
      <c r="BN103" s="239"/>
      <c r="BO103" s="239"/>
      <c r="BP103" s="239"/>
      <c r="BQ103" s="239"/>
      <c r="BR103" s="239"/>
      <c r="BS103" s="239"/>
      <c r="BT103" s="239"/>
      <c r="BU103" s="239"/>
      <c r="BV103" s="239"/>
      <c r="BW103" s="239"/>
      <c r="BX103" s="239"/>
      <c r="BY103" s="239"/>
      <c r="BZ103" s="239"/>
      <c r="CA103" s="239"/>
      <c r="CB103" s="239"/>
      <c r="CC103" s="239"/>
      <c r="CD103" s="239"/>
      <c r="CE103" s="239"/>
      <c r="CF103" s="239"/>
      <c r="CG103" s="239"/>
      <c r="CH103" s="239"/>
      <c r="CI103" s="239"/>
      <c r="CJ103" s="239"/>
      <c r="CK103" s="239"/>
      <c r="CL103" s="239"/>
      <c r="CM103" s="239"/>
      <c r="CN103" s="239"/>
      <c r="CO103" s="239"/>
      <c r="CP103" s="239"/>
      <c r="CQ103" s="239"/>
      <c r="CR103" s="239"/>
      <c r="CS103" s="239"/>
      <c r="CT103" s="239"/>
      <c r="CU103" s="239"/>
      <c r="CV103" s="239"/>
      <c r="CW103" s="239"/>
      <c r="CX103" s="239"/>
      <c r="CY103" s="239"/>
      <c r="CZ103" s="239"/>
      <c r="DA103" s="239"/>
      <c r="DB103" s="239"/>
      <c r="DC103" s="239"/>
      <c r="DD103" s="239"/>
      <c r="DE103" s="239"/>
      <c r="DF103" s="239"/>
      <c r="DG103" s="239"/>
      <c r="DH103" s="239"/>
      <c r="DI103" s="239"/>
      <c r="DJ103" s="239"/>
      <c r="DK103" s="239"/>
      <c r="DL103" s="239"/>
      <c r="DM103" s="239"/>
      <c r="DN103" s="239"/>
      <c r="DO103" s="239"/>
      <c r="DP103" s="239"/>
      <c r="DQ103" s="239"/>
      <c r="DR103" s="239"/>
      <c r="DS103" s="239"/>
      <c r="DT103" s="239"/>
      <c r="DU103" s="239"/>
      <c r="DV103" s="239"/>
      <c r="DW103" s="239"/>
      <c r="DX103" s="239"/>
      <c r="DY103" s="239"/>
      <c r="DZ103" s="239"/>
      <c r="EA103" s="239"/>
      <c r="EB103" s="239"/>
      <c r="EC103" s="239"/>
      <c r="ED103" s="239"/>
      <c r="EE103" s="239"/>
      <c r="EF103" s="239"/>
      <c r="EG103" s="239"/>
      <c r="EH103" s="239"/>
      <c r="EI103" s="239"/>
      <c r="EJ103" s="239"/>
      <c r="EK103" s="239"/>
      <c r="EL103" s="239"/>
      <c r="EM103" s="239"/>
      <c r="EN103" s="239"/>
      <c r="EO103" s="239"/>
      <c r="EP103" s="239"/>
      <c r="EQ103" s="239"/>
      <c r="ER103" s="239"/>
      <c r="ES103" s="239"/>
      <c r="ET103" s="239"/>
      <c r="EU103" s="239"/>
      <c r="EV103" s="239"/>
      <c r="EW103" s="239"/>
      <c r="EX103" s="239"/>
      <c r="EY103" s="239"/>
      <c r="EZ103" s="239"/>
      <c r="FA103" s="239"/>
      <c r="FB103" s="239"/>
      <c r="FC103" s="239"/>
      <c r="FD103" s="239"/>
      <c r="FE103" s="239"/>
      <c r="FF103" s="239"/>
      <c r="FG103" s="239"/>
      <c r="FH103" s="239"/>
      <c r="FI103" s="239"/>
      <c r="FJ103" s="239"/>
      <c r="FK103" s="239"/>
      <c r="FL103" s="239"/>
      <c r="FM103" s="239"/>
      <c r="FN103" s="239"/>
      <c r="FO103" s="239"/>
      <c r="FP103" s="239"/>
      <c r="FQ103" s="239"/>
      <c r="FR103" s="239"/>
      <c r="FS103" s="239"/>
      <c r="FT103" s="239"/>
      <c r="FU103" s="239"/>
      <c r="FV103" s="239"/>
      <c r="FW103" s="239"/>
    </row>
    <row r="104" spans="1:179" s="236" customFormat="1" ht="18">
      <c r="A104" s="248">
        <v>0.1</v>
      </c>
      <c r="B104" s="279">
        <v>17.5</v>
      </c>
      <c r="C104" s="279">
        <v>29</v>
      </c>
      <c r="D104" s="279">
        <v>38</v>
      </c>
      <c r="E104" s="279">
        <v>48</v>
      </c>
      <c r="F104" s="279">
        <v>61</v>
      </c>
      <c r="G104" s="279">
        <v>78</v>
      </c>
      <c r="H104" s="279">
        <v>91</v>
      </c>
      <c r="I104" s="279">
        <v>113</v>
      </c>
      <c r="J104" s="279">
        <v>142</v>
      </c>
      <c r="K104" s="279">
        <v>168</v>
      </c>
      <c r="L104" s="279">
        <v>210</v>
      </c>
      <c r="M104" s="279">
        <v>288</v>
      </c>
      <c r="N104" s="279">
        <v>329</v>
      </c>
      <c r="O104" s="279">
        <v>497</v>
      </c>
      <c r="P104" s="279">
        <v>719</v>
      </c>
      <c r="Q104" s="279">
        <v>1000</v>
      </c>
      <c r="R104" s="260"/>
      <c r="S104" s="260"/>
      <c r="T104" s="260"/>
      <c r="AN104" s="239"/>
      <c r="AO104" s="239"/>
      <c r="AP104" s="239"/>
      <c r="AQ104" s="239"/>
      <c r="AR104" s="239"/>
      <c r="AS104" s="239"/>
      <c r="AT104" s="239"/>
      <c r="AU104" s="239"/>
      <c r="AV104" s="239"/>
      <c r="AW104" s="239"/>
      <c r="AX104" s="239"/>
      <c r="AY104" s="239"/>
      <c r="AZ104" s="239"/>
      <c r="BA104" s="239"/>
      <c r="BB104" s="239"/>
      <c r="BC104" s="239"/>
      <c r="BD104" s="239"/>
      <c r="BE104" s="239"/>
      <c r="BF104" s="239"/>
      <c r="BG104" s="239"/>
      <c r="BH104" s="239"/>
      <c r="BI104" s="239"/>
      <c r="BJ104" s="239"/>
      <c r="BK104" s="239"/>
      <c r="BL104" s="239"/>
      <c r="BM104" s="239"/>
      <c r="BN104" s="239"/>
      <c r="BO104" s="239"/>
      <c r="BP104" s="239"/>
      <c r="BQ104" s="239"/>
      <c r="BR104" s="239"/>
      <c r="BS104" s="239"/>
      <c r="BT104" s="239"/>
      <c r="BU104" s="239"/>
      <c r="BV104" s="239"/>
      <c r="BW104" s="239"/>
      <c r="BX104" s="239"/>
      <c r="BY104" s="239"/>
      <c r="BZ104" s="239"/>
      <c r="CA104" s="239"/>
      <c r="CB104" s="239"/>
      <c r="CC104" s="239"/>
      <c r="CD104" s="239"/>
      <c r="CE104" s="239"/>
      <c r="CF104" s="239"/>
      <c r="CG104" s="239"/>
      <c r="CH104" s="239"/>
      <c r="CI104" s="239"/>
      <c r="CJ104" s="239"/>
      <c r="CK104" s="239"/>
      <c r="CL104" s="239"/>
      <c r="CM104" s="239"/>
      <c r="CN104" s="239"/>
      <c r="CO104" s="239"/>
      <c r="CP104" s="239"/>
      <c r="CQ104" s="239"/>
      <c r="CR104" s="239"/>
      <c r="CS104" s="239"/>
      <c r="CT104" s="239"/>
      <c r="CU104" s="239"/>
      <c r="CV104" s="239"/>
      <c r="CW104" s="239"/>
      <c r="CX104" s="239"/>
      <c r="CY104" s="239"/>
      <c r="CZ104" s="239"/>
      <c r="DA104" s="239"/>
      <c r="DB104" s="239"/>
      <c r="DC104" s="239"/>
      <c r="DD104" s="239"/>
      <c r="DE104" s="239"/>
      <c r="DF104" s="239"/>
      <c r="DG104" s="239"/>
      <c r="DH104" s="239"/>
      <c r="DI104" s="239"/>
      <c r="DJ104" s="239"/>
      <c r="DK104" s="239"/>
      <c r="DL104" s="239"/>
      <c r="DM104" s="239"/>
      <c r="DN104" s="239"/>
      <c r="DO104" s="239"/>
      <c r="DP104" s="239"/>
      <c r="DQ104" s="239"/>
      <c r="DR104" s="239"/>
      <c r="DS104" s="239"/>
      <c r="DT104" s="239"/>
      <c r="DU104" s="239"/>
      <c r="DV104" s="239"/>
      <c r="DW104" s="239"/>
      <c r="DX104" s="239"/>
      <c r="DY104" s="239"/>
      <c r="DZ104" s="239"/>
      <c r="EA104" s="239"/>
      <c r="EB104" s="239"/>
      <c r="EC104" s="239"/>
      <c r="ED104" s="239"/>
      <c r="EE104" s="239"/>
      <c r="EF104" s="239"/>
      <c r="EG104" s="239"/>
      <c r="EH104" s="239"/>
      <c r="EI104" s="239"/>
      <c r="EJ104" s="239"/>
      <c r="EK104" s="239"/>
      <c r="EL104" s="239"/>
      <c r="EM104" s="239"/>
      <c r="EN104" s="239"/>
      <c r="EO104" s="239"/>
      <c r="EP104" s="239"/>
      <c r="EQ104" s="239"/>
      <c r="ER104" s="239"/>
      <c r="ES104" s="239"/>
      <c r="ET104" s="239"/>
      <c r="EU104" s="239"/>
      <c r="EV104" s="239"/>
      <c r="EW104" s="239"/>
      <c r="EX104" s="239"/>
      <c r="EY104" s="239"/>
      <c r="EZ104" s="239"/>
      <c r="FA104" s="239"/>
      <c r="FB104" s="239"/>
      <c r="FC104" s="239"/>
      <c r="FD104" s="239"/>
      <c r="FE104" s="239"/>
      <c r="FF104" s="239"/>
      <c r="FG104" s="239"/>
      <c r="FH104" s="239"/>
      <c r="FI104" s="239"/>
      <c r="FJ104" s="239"/>
      <c r="FK104" s="239"/>
      <c r="FL104" s="239"/>
      <c r="FM104" s="239"/>
      <c r="FN104" s="239"/>
      <c r="FO104" s="239"/>
      <c r="FP104" s="239"/>
      <c r="FQ104" s="239"/>
      <c r="FR104" s="239"/>
      <c r="FS104" s="239"/>
      <c r="FT104" s="239"/>
      <c r="FU104" s="239"/>
      <c r="FV104" s="239"/>
      <c r="FW104" s="239"/>
    </row>
    <row r="105" spans="1:179" s="236" customFormat="1" ht="18">
      <c r="A105" s="248">
        <v>0.08</v>
      </c>
      <c r="B105" s="279">
        <v>20.5</v>
      </c>
      <c r="C105" s="279">
        <v>33</v>
      </c>
      <c r="D105" s="279">
        <v>43</v>
      </c>
      <c r="E105" s="279">
        <v>57</v>
      </c>
      <c r="F105" s="279">
        <v>67</v>
      </c>
      <c r="G105" s="279">
        <v>86</v>
      </c>
      <c r="H105" s="279">
        <v>100</v>
      </c>
      <c r="I105" s="279">
        <v>125</v>
      </c>
      <c r="J105" s="279">
        <v>158</v>
      </c>
      <c r="K105" s="279">
        <v>180</v>
      </c>
      <c r="L105" s="279">
        <v>225</v>
      </c>
      <c r="M105" s="279">
        <v>315</v>
      </c>
      <c r="N105" s="279">
        <v>360</v>
      </c>
      <c r="O105" s="279">
        <v>540</v>
      </c>
      <c r="P105" s="279">
        <v>800</v>
      </c>
      <c r="Q105" s="279">
        <v>1110</v>
      </c>
      <c r="R105" s="260"/>
      <c r="S105" s="260"/>
      <c r="T105" s="260"/>
      <c r="AN105" s="239"/>
      <c r="AO105" s="239"/>
      <c r="AP105" s="239"/>
      <c r="AQ105" s="239"/>
      <c r="AR105" s="239"/>
      <c r="AS105" s="239"/>
      <c r="AT105" s="239"/>
      <c r="AU105" s="239"/>
      <c r="AV105" s="239"/>
      <c r="AW105" s="239"/>
      <c r="AX105" s="239"/>
      <c r="AY105" s="239"/>
      <c r="AZ105" s="239"/>
      <c r="BA105" s="239"/>
      <c r="BB105" s="239"/>
      <c r="BC105" s="239"/>
      <c r="BD105" s="239"/>
      <c r="BE105" s="239"/>
      <c r="BF105" s="239"/>
      <c r="BG105" s="239"/>
      <c r="BH105" s="239"/>
      <c r="BI105" s="239"/>
      <c r="BJ105" s="239"/>
      <c r="BK105" s="239"/>
      <c r="BL105" s="239"/>
      <c r="BM105" s="239"/>
      <c r="BN105" s="239"/>
      <c r="BO105" s="239"/>
      <c r="BP105" s="239"/>
      <c r="BQ105" s="239"/>
      <c r="BR105" s="239"/>
      <c r="BS105" s="239"/>
      <c r="BT105" s="239"/>
      <c r="BU105" s="239"/>
      <c r="BV105" s="239"/>
      <c r="BW105" s="239"/>
      <c r="BX105" s="239"/>
      <c r="BY105" s="239"/>
      <c r="BZ105" s="239"/>
      <c r="CA105" s="239"/>
      <c r="CB105" s="239"/>
      <c r="CC105" s="239"/>
      <c r="CD105" s="239"/>
      <c r="CE105" s="239"/>
      <c r="CF105" s="239"/>
      <c r="CG105" s="239"/>
      <c r="CH105" s="239"/>
      <c r="CI105" s="239"/>
      <c r="CJ105" s="239"/>
      <c r="CK105" s="239"/>
      <c r="CL105" s="239"/>
      <c r="CM105" s="239"/>
      <c r="CN105" s="239"/>
      <c r="CO105" s="239"/>
      <c r="CP105" s="239"/>
      <c r="CQ105" s="239"/>
      <c r="CR105" s="239"/>
      <c r="CS105" s="239"/>
      <c r="CT105" s="239"/>
      <c r="CU105" s="239"/>
      <c r="CV105" s="239"/>
      <c r="CW105" s="239"/>
      <c r="CX105" s="239"/>
      <c r="CY105" s="239"/>
      <c r="CZ105" s="239"/>
      <c r="DA105" s="239"/>
      <c r="DB105" s="239"/>
      <c r="DC105" s="239"/>
      <c r="DD105" s="239"/>
      <c r="DE105" s="239"/>
      <c r="DF105" s="239"/>
      <c r="DG105" s="239"/>
      <c r="DH105" s="239"/>
      <c r="DI105" s="239"/>
      <c r="DJ105" s="239"/>
      <c r="DK105" s="239"/>
      <c r="DL105" s="239"/>
      <c r="DM105" s="239"/>
      <c r="DN105" s="239"/>
      <c r="DO105" s="239"/>
      <c r="DP105" s="239"/>
      <c r="DQ105" s="239"/>
      <c r="DR105" s="239"/>
      <c r="DS105" s="239"/>
      <c r="DT105" s="239"/>
      <c r="DU105" s="239"/>
      <c r="DV105" s="239"/>
      <c r="DW105" s="239"/>
      <c r="DX105" s="239"/>
      <c r="DY105" s="239"/>
      <c r="DZ105" s="239"/>
      <c r="EA105" s="239"/>
      <c r="EB105" s="239"/>
      <c r="EC105" s="239"/>
      <c r="ED105" s="239"/>
      <c r="EE105" s="239"/>
      <c r="EF105" s="239"/>
      <c r="EG105" s="239"/>
      <c r="EH105" s="239"/>
      <c r="EI105" s="239"/>
      <c r="EJ105" s="239"/>
      <c r="EK105" s="239"/>
      <c r="EL105" s="239"/>
      <c r="EM105" s="239"/>
      <c r="EN105" s="239"/>
      <c r="EO105" s="239"/>
      <c r="EP105" s="239"/>
      <c r="EQ105" s="239"/>
      <c r="ER105" s="239"/>
      <c r="ES105" s="239"/>
      <c r="ET105" s="239"/>
      <c r="EU105" s="239"/>
      <c r="EV105" s="239"/>
      <c r="EW105" s="239"/>
      <c r="EX105" s="239"/>
      <c r="EY105" s="239"/>
      <c r="EZ105" s="239"/>
      <c r="FA105" s="239"/>
      <c r="FB105" s="239"/>
      <c r="FC105" s="239"/>
      <c r="FD105" s="239"/>
      <c r="FE105" s="239"/>
      <c r="FF105" s="239"/>
      <c r="FG105" s="239"/>
      <c r="FH105" s="239"/>
      <c r="FI105" s="239"/>
      <c r="FJ105" s="239"/>
      <c r="FK105" s="239"/>
      <c r="FL105" s="239"/>
      <c r="FM105" s="239"/>
      <c r="FN105" s="239"/>
      <c r="FO105" s="239"/>
      <c r="FP105" s="239"/>
      <c r="FQ105" s="239"/>
      <c r="FR105" s="239"/>
      <c r="FS105" s="239"/>
      <c r="FT105" s="239"/>
      <c r="FU105" s="239"/>
      <c r="FV105" s="239"/>
      <c r="FW105" s="239"/>
    </row>
    <row r="106" spans="1:179" s="236" customFormat="1" ht="18">
      <c r="A106" s="248">
        <v>0.06</v>
      </c>
      <c r="B106" s="279">
        <v>24</v>
      </c>
      <c r="C106" s="279">
        <v>40</v>
      </c>
      <c r="D106" s="279">
        <v>50</v>
      </c>
      <c r="E106" s="279">
        <v>66</v>
      </c>
      <c r="F106" s="279">
        <v>78</v>
      </c>
      <c r="G106" s="279">
        <v>100</v>
      </c>
      <c r="H106" s="279">
        <v>116</v>
      </c>
      <c r="I106" s="279">
        <v>145</v>
      </c>
      <c r="J106" s="279">
        <v>180</v>
      </c>
      <c r="K106" s="279">
        <v>210</v>
      </c>
      <c r="L106" s="279">
        <v>260</v>
      </c>
      <c r="M106" s="279">
        <v>360</v>
      </c>
      <c r="N106" s="279">
        <v>415</v>
      </c>
      <c r="O106" s="279">
        <v>620</v>
      </c>
      <c r="P106" s="279">
        <v>920</v>
      </c>
      <c r="Q106" s="279">
        <v>1300</v>
      </c>
      <c r="R106" s="260"/>
      <c r="S106" s="260"/>
      <c r="T106" s="260"/>
      <c r="AN106" s="239"/>
      <c r="AO106" s="239"/>
      <c r="AP106" s="239"/>
      <c r="AQ106" s="239"/>
      <c r="AR106" s="239"/>
      <c r="AS106" s="239"/>
      <c r="AT106" s="239"/>
      <c r="AU106" s="239"/>
      <c r="AV106" s="239"/>
      <c r="AW106" s="239"/>
      <c r="AX106" s="239"/>
      <c r="AY106" s="239"/>
      <c r="AZ106" s="239"/>
      <c r="BA106" s="239"/>
      <c r="BB106" s="239"/>
      <c r="BC106" s="239"/>
      <c r="BD106" s="239"/>
      <c r="BE106" s="239"/>
      <c r="BF106" s="239"/>
      <c r="BG106" s="239"/>
      <c r="BH106" s="239"/>
      <c r="BI106" s="239"/>
      <c r="BJ106" s="239"/>
      <c r="BK106" s="239"/>
      <c r="BL106" s="239"/>
      <c r="BM106" s="239"/>
      <c r="BN106" s="239"/>
      <c r="BO106" s="239"/>
      <c r="BP106" s="239"/>
      <c r="BQ106" s="239"/>
      <c r="BR106" s="239"/>
      <c r="BS106" s="239"/>
      <c r="BT106" s="239"/>
      <c r="BU106" s="239"/>
      <c r="BV106" s="239"/>
      <c r="BW106" s="239"/>
      <c r="BX106" s="239"/>
      <c r="BY106" s="239"/>
      <c r="BZ106" s="239"/>
      <c r="CA106" s="239"/>
      <c r="CB106" s="239"/>
      <c r="CC106" s="239"/>
      <c r="CD106" s="239"/>
      <c r="CE106" s="239"/>
      <c r="CF106" s="239"/>
      <c r="CG106" s="239"/>
      <c r="CH106" s="239"/>
      <c r="CI106" s="239"/>
      <c r="CJ106" s="239"/>
      <c r="CK106" s="239"/>
      <c r="CL106" s="239"/>
      <c r="CM106" s="239"/>
      <c r="CN106" s="239"/>
      <c r="CO106" s="239"/>
      <c r="CP106" s="239"/>
      <c r="CQ106" s="239"/>
      <c r="CR106" s="239"/>
      <c r="CS106" s="239"/>
      <c r="CT106" s="239"/>
      <c r="CU106" s="239"/>
      <c r="CV106" s="239"/>
      <c r="CW106" s="239"/>
      <c r="CX106" s="239"/>
      <c r="CY106" s="239"/>
      <c r="CZ106" s="239"/>
      <c r="DA106" s="239"/>
      <c r="DB106" s="239"/>
      <c r="DC106" s="239"/>
      <c r="DD106" s="239"/>
      <c r="DE106" s="239"/>
      <c r="DF106" s="239"/>
      <c r="DG106" s="239"/>
      <c r="DH106" s="239"/>
      <c r="DI106" s="239"/>
      <c r="DJ106" s="239"/>
      <c r="DK106" s="239"/>
      <c r="DL106" s="239"/>
      <c r="DM106" s="239"/>
      <c r="DN106" s="239"/>
      <c r="DO106" s="239"/>
      <c r="DP106" s="239"/>
      <c r="DQ106" s="239"/>
      <c r="DR106" s="239"/>
      <c r="DS106" s="239"/>
      <c r="DT106" s="239"/>
      <c r="DU106" s="239"/>
      <c r="DV106" s="239"/>
      <c r="DW106" s="239"/>
      <c r="DX106" s="239"/>
      <c r="DY106" s="239"/>
      <c r="DZ106" s="239"/>
      <c r="EA106" s="239"/>
      <c r="EB106" s="239"/>
      <c r="EC106" s="239"/>
      <c r="ED106" s="239"/>
      <c r="EE106" s="239"/>
      <c r="EF106" s="239"/>
      <c r="EG106" s="239"/>
      <c r="EH106" s="239"/>
      <c r="EI106" s="239"/>
      <c r="EJ106" s="239"/>
      <c r="EK106" s="239"/>
      <c r="EL106" s="239"/>
      <c r="EM106" s="239"/>
      <c r="EN106" s="239"/>
      <c r="EO106" s="239"/>
      <c r="EP106" s="239"/>
      <c r="EQ106" s="239"/>
      <c r="ER106" s="239"/>
      <c r="ES106" s="239"/>
      <c r="ET106" s="239"/>
      <c r="EU106" s="239"/>
      <c r="EV106" s="239"/>
      <c r="EW106" s="239"/>
      <c r="EX106" s="239"/>
      <c r="EY106" s="239"/>
      <c r="EZ106" s="239"/>
      <c r="FA106" s="239"/>
      <c r="FB106" s="239"/>
      <c r="FC106" s="239"/>
      <c r="FD106" s="239"/>
      <c r="FE106" s="239"/>
      <c r="FF106" s="239"/>
      <c r="FG106" s="239"/>
      <c r="FH106" s="239"/>
      <c r="FI106" s="239"/>
      <c r="FJ106" s="239"/>
      <c r="FK106" s="239"/>
      <c r="FL106" s="239"/>
      <c r="FM106" s="239"/>
      <c r="FN106" s="239"/>
      <c r="FO106" s="239"/>
      <c r="FP106" s="239"/>
      <c r="FQ106" s="239"/>
      <c r="FR106" s="239"/>
      <c r="FS106" s="239"/>
      <c r="FT106" s="239"/>
      <c r="FU106" s="239"/>
      <c r="FV106" s="239"/>
      <c r="FW106" s="239"/>
    </row>
    <row r="107" spans="1:179" s="236" customFormat="1" ht="18">
      <c r="A107" s="248">
        <v>0.04</v>
      </c>
      <c r="B107" s="279">
        <v>30</v>
      </c>
      <c r="C107" s="279">
        <v>51</v>
      </c>
      <c r="D107" s="279">
        <v>64</v>
      </c>
      <c r="E107" s="279">
        <v>82</v>
      </c>
      <c r="F107" s="279">
        <v>97</v>
      </c>
      <c r="G107" s="279">
        <v>120</v>
      </c>
      <c r="H107" s="279">
        <v>142</v>
      </c>
      <c r="I107" s="279">
        <v>178</v>
      </c>
      <c r="J107" s="279">
        <v>218</v>
      </c>
      <c r="K107" s="279">
        <v>255</v>
      </c>
      <c r="L107" s="279">
        <v>315</v>
      </c>
      <c r="M107" s="279">
        <v>440</v>
      </c>
      <c r="N107" s="279">
        <v>500</v>
      </c>
      <c r="O107" s="279">
        <v>750</v>
      </c>
      <c r="P107" s="279">
        <v>1120</v>
      </c>
      <c r="Q107" s="279">
        <v>1600</v>
      </c>
      <c r="R107" s="260"/>
      <c r="S107" s="260"/>
      <c r="T107" s="260"/>
    </row>
    <row r="108" spans="1:179" s="236" customFormat="1" ht="18">
      <c r="A108" s="248">
        <v>0.03</v>
      </c>
      <c r="B108" s="279">
        <v>36</v>
      </c>
      <c r="C108" s="279">
        <v>61</v>
      </c>
      <c r="D108" s="279">
        <v>76</v>
      </c>
      <c r="E108" s="279">
        <v>95</v>
      </c>
      <c r="F108" s="279">
        <v>113</v>
      </c>
      <c r="G108" s="279">
        <v>140</v>
      </c>
      <c r="H108" s="279">
        <v>162</v>
      </c>
      <c r="I108" s="279">
        <v>205</v>
      </c>
      <c r="J108" s="279">
        <v>246</v>
      </c>
      <c r="K108" s="279">
        <v>295</v>
      </c>
      <c r="L108" s="279">
        <v>360</v>
      </c>
      <c r="M108" s="279">
        <v>500</v>
      </c>
      <c r="N108" s="279">
        <v>580</v>
      </c>
      <c r="O108" s="279">
        <v>870</v>
      </c>
      <c r="P108" s="279">
        <v>1300</v>
      </c>
      <c r="Q108" s="279">
        <v>1850</v>
      </c>
      <c r="R108" s="260"/>
      <c r="S108" s="260"/>
      <c r="T108" s="260"/>
    </row>
    <row r="109" spans="1:179" s="236" customFormat="1" ht="18">
      <c r="A109" s="248">
        <v>0.02</v>
      </c>
      <c r="B109" s="279">
        <v>45</v>
      </c>
      <c r="C109" s="279">
        <v>78</v>
      </c>
      <c r="D109" s="279">
        <v>96</v>
      </c>
      <c r="E109" s="279">
        <v>118</v>
      </c>
      <c r="F109" s="279">
        <v>140</v>
      </c>
      <c r="G109" s="279">
        <v>168</v>
      </c>
      <c r="H109" s="279">
        <v>200</v>
      </c>
      <c r="I109" s="279">
        <v>248</v>
      </c>
      <c r="J109" s="279">
        <v>300</v>
      </c>
      <c r="K109" s="279">
        <v>360</v>
      </c>
      <c r="L109" s="279">
        <v>435</v>
      </c>
      <c r="M109" s="279">
        <v>620</v>
      </c>
      <c r="N109" s="279">
        <v>700</v>
      </c>
      <c r="O109" s="279">
        <v>1070</v>
      </c>
      <c r="P109" s="279">
        <v>1550</v>
      </c>
      <c r="Q109" s="279">
        <v>2300</v>
      </c>
      <c r="R109" s="260"/>
      <c r="S109" s="260"/>
      <c r="T109" s="260"/>
    </row>
    <row r="110" spans="1:179" s="236" customFormat="1" ht="18">
      <c r="A110" s="248">
        <v>1.4E-2</v>
      </c>
      <c r="B110" s="279">
        <v>56</v>
      </c>
      <c r="C110" s="279">
        <v>98</v>
      </c>
      <c r="D110" s="279">
        <v>118</v>
      </c>
      <c r="E110" s="279">
        <v>140</v>
      </c>
      <c r="F110" s="279">
        <v>168</v>
      </c>
      <c r="G110" s="279">
        <v>200</v>
      </c>
      <c r="H110" s="279">
        <v>240</v>
      </c>
      <c r="I110" s="279">
        <v>300</v>
      </c>
      <c r="J110" s="279">
        <v>355</v>
      </c>
      <c r="K110" s="279">
        <v>425</v>
      </c>
      <c r="L110" s="279">
        <v>520</v>
      </c>
      <c r="M110" s="279">
        <v>740</v>
      </c>
      <c r="N110" s="279">
        <v>840</v>
      </c>
      <c r="O110" s="279">
        <v>1280</v>
      </c>
      <c r="P110" s="279">
        <v>1850</v>
      </c>
      <c r="Q110" s="279">
        <v>2700</v>
      </c>
      <c r="R110" s="260"/>
      <c r="S110" s="260"/>
      <c r="T110" s="260"/>
    </row>
    <row r="111" spans="1:179" s="236" customFormat="1" ht="18">
      <c r="A111" s="248">
        <v>0.01</v>
      </c>
      <c r="B111" s="279">
        <v>67</v>
      </c>
      <c r="C111" s="279">
        <v>120</v>
      </c>
      <c r="D111" s="279">
        <v>142</v>
      </c>
      <c r="E111" s="279">
        <v>165</v>
      </c>
      <c r="F111" s="279">
        <v>195</v>
      </c>
      <c r="G111" s="279">
        <v>225</v>
      </c>
      <c r="H111" s="279">
        <v>280</v>
      </c>
      <c r="I111" s="279">
        <v>350</v>
      </c>
      <c r="J111" s="279">
        <v>410</v>
      </c>
      <c r="K111" s="279">
        <v>500</v>
      </c>
      <c r="L111" s="279">
        <v>610</v>
      </c>
      <c r="M111" s="279">
        <v>870</v>
      </c>
      <c r="N111" s="279">
        <v>1000</v>
      </c>
      <c r="O111" s="279">
        <v>1480</v>
      </c>
      <c r="P111" s="279">
        <v>2200</v>
      </c>
      <c r="Q111" s="279">
        <v>3200</v>
      </c>
      <c r="R111" s="260"/>
      <c r="S111" s="260"/>
      <c r="T111" s="260"/>
    </row>
    <row r="112" spans="1:179" s="236" customFormat="1" ht="15.75">
      <c r="A112" s="258"/>
      <c r="B112" s="258"/>
      <c r="C112" s="258"/>
      <c r="D112" s="258"/>
      <c r="E112" s="258"/>
      <c r="F112" s="258"/>
      <c r="G112" s="258"/>
      <c r="H112" s="258"/>
      <c r="I112" s="258"/>
      <c r="J112" s="258"/>
      <c r="K112" s="258"/>
      <c r="L112" s="258"/>
      <c r="M112" s="258"/>
      <c r="N112" s="258"/>
      <c r="O112" s="258"/>
      <c r="P112" s="258"/>
      <c r="Q112" s="258"/>
      <c r="R112" s="260"/>
      <c r="S112" s="260"/>
      <c r="T112" s="260"/>
    </row>
    <row r="113" spans="1:20" s="236" customFormat="1" ht="15.75">
      <c r="A113" s="258"/>
      <c r="B113" s="258"/>
      <c r="C113" s="258"/>
      <c r="D113" s="258"/>
      <c r="E113" s="258"/>
      <c r="F113" s="258"/>
      <c r="G113" s="258"/>
      <c r="H113" s="258"/>
      <c r="I113" s="258"/>
      <c r="J113" s="258"/>
      <c r="K113" s="258"/>
      <c r="L113" s="258"/>
      <c r="M113" s="258"/>
      <c r="N113" s="258"/>
      <c r="O113" s="258"/>
      <c r="P113" s="258"/>
      <c r="Q113" s="258"/>
      <c r="R113" s="260"/>
      <c r="S113" s="260"/>
      <c r="T113" s="260"/>
    </row>
    <row r="114" spans="1:20" s="236" customFormat="1" ht="23.25">
      <c r="A114" s="235" t="s">
        <v>935</v>
      </c>
      <c r="B114" s="235"/>
      <c r="C114" s="235"/>
      <c r="D114" s="235"/>
      <c r="E114" s="235"/>
      <c r="F114" s="235"/>
      <c r="G114" s="235"/>
      <c r="H114" s="235"/>
      <c r="I114" s="235"/>
      <c r="J114" s="235"/>
      <c r="K114" s="235"/>
      <c r="L114" s="235"/>
      <c r="M114" s="235"/>
      <c r="N114" s="235"/>
      <c r="O114" s="235"/>
      <c r="P114" s="235"/>
      <c r="Q114" s="235"/>
      <c r="R114" s="260"/>
      <c r="S114" s="260"/>
      <c r="T114" s="260"/>
    </row>
    <row r="115" spans="1:20" s="236" customFormat="1" ht="15.75">
      <c r="A115" s="260"/>
      <c r="B115" s="260"/>
      <c r="C115" s="260"/>
      <c r="D115" s="260"/>
      <c r="E115" s="260"/>
      <c r="F115" s="260"/>
      <c r="G115" s="260"/>
      <c r="H115" s="260"/>
      <c r="I115" s="260"/>
      <c r="J115" s="260"/>
      <c r="K115" s="260"/>
      <c r="L115" s="260"/>
      <c r="M115" s="260"/>
      <c r="N115" s="260"/>
      <c r="O115" s="260"/>
      <c r="P115" s="260"/>
      <c r="Q115" s="260"/>
      <c r="R115" s="260"/>
      <c r="S115" s="260"/>
      <c r="T115" s="260"/>
    </row>
    <row r="116" spans="1:20" s="236" customFormat="1" ht="18">
      <c r="A116" s="248" t="s">
        <v>873</v>
      </c>
      <c r="B116" s="248" t="s">
        <v>919</v>
      </c>
      <c r="C116" s="248" t="s">
        <v>920</v>
      </c>
      <c r="D116" s="248" t="s">
        <v>921</v>
      </c>
      <c r="E116" s="248" t="s">
        <v>922</v>
      </c>
      <c r="F116" s="248" t="s">
        <v>923</v>
      </c>
      <c r="G116" s="248" t="s">
        <v>924</v>
      </c>
      <c r="H116" s="248" t="s">
        <v>925</v>
      </c>
      <c r="I116" s="248" t="s">
        <v>926</v>
      </c>
      <c r="J116" s="248" t="s">
        <v>927</v>
      </c>
      <c r="K116" s="248" t="s">
        <v>928</v>
      </c>
      <c r="L116" s="248" t="s">
        <v>929</v>
      </c>
      <c r="M116" s="248" t="s">
        <v>930</v>
      </c>
      <c r="N116" s="248" t="s">
        <v>931</v>
      </c>
      <c r="O116" s="248" t="s">
        <v>932</v>
      </c>
      <c r="P116" s="248" t="s">
        <v>933</v>
      </c>
      <c r="Q116" s="248" t="s">
        <v>934</v>
      </c>
      <c r="R116" s="260"/>
      <c r="S116" s="260"/>
      <c r="T116" s="260"/>
    </row>
    <row r="117" spans="1:20" s="236" customFormat="1" ht="18">
      <c r="A117" s="248">
        <v>300</v>
      </c>
      <c r="B117" s="279">
        <v>2.4</v>
      </c>
      <c r="C117" s="279">
        <v>4</v>
      </c>
      <c r="D117" s="279">
        <v>4.8</v>
      </c>
      <c r="E117" s="279">
        <v>10</v>
      </c>
      <c r="F117" s="279">
        <v>13.5</v>
      </c>
      <c r="G117" s="279">
        <v>17</v>
      </c>
      <c r="H117" s="279">
        <v>20.5</v>
      </c>
      <c r="I117" s="279">
        <v>25</v>
      </c>
      <c r="J117" s="279">
        <v>34</v>
      </c>
      <c r="K117" s="279">
        <v>42</v>
      </c>
      <c r="L117" s="279">
        <v>50</v>
      </c>
      <c r="M117" s="279">
        <v>67</v>
      </c>
      <c r="N117" s="279">
        <v>84</v>
      </c>
      <c r="O117" s="279">
        <v>110</v>
      </c>
      <c r="P117" s="279">
        <v>135</v>
      </c>
      <c r="Q117" s="279">
        <v>168</v>
      </c>
      <c r="R117" s="260"/>
      <c r="S117" s="260"/>
      <c r="T117" s="260"/>
    </row>
    <row r="118" spans="1:20" s="236" customFormat="1" ht="18">
      <c r="A118" s="248">
        <v>180</v>
      </c>
      <c r="B118" s="279">
        <v>2.5</v>
      </c>
      <c r="C118" s="279">
        <v>4.2</v>
      </c>
      <c r="D118" s="279">
        <v>5</v>
      </c>
      <c r="E118" s="279">
        <v>10.3</v>
      </c>
      <c r="F118" s="279">
        <v>13.7</v>
      </c>
      <c r="G118" s="279">
        <v>17.8</v>
      </c>
      <c r="H118" s="279">
        <v>20.8</v>
      </c>
      <c r="I118" s="279">
        <v>25.8</v>
      </c>
      <c r="J118" s="279">
        <v>35</v>
      </c>
      <c r="K118" s="279">
        <v>43</v>
      </c>
      <c r="L118" s="279">
        <v>52</v>
      </c>
      <c r="M118" s="279">
        <v>70</v>
      </c>
      <c r="N118" s="279">
        <v>86</v>
      </c>
      <c r="O118" s="279">
        <v>112</v>
      </c>
      <c r="P118" s="279">
        <v>138</v>
      </c>
      <c r="Q118" s="279">
        <v>176</v>
      </c>
      <c r="R118" s="260"/>
      <c r="S118" s="260"/>
      <c r="T118" s="260"/>
    </row>
    <row r="119" spans="1:20" s="236" customFormat="1" ht="18">
      <c r="A119" s="248">
        <v>120</v>
      </c>
      <c r="B119" s="279">
        <v>2.6</v>
      </c>
      <c r="C119" s="279">
        <v>4.3</v>
      </c>
      <c r="D119" s="279">
        <v>5</v>
      </c>
      <c r="E119" s="279">
        <v>10.4</v>
      </c>
      <c r="F119" s="279">
        <v>13.8</v>
      </c>
      <c r="G119" s="279">
        <v>18</v>
      </c>
      <c r="H119" s="279">
        <v>21</v>
      </c>
      <c r="I119" s="279">
        <v>26</v>
      </c>
      <c r="J119" s="279">
        <v>36</v>
      </c>
      <c r="K119" s="279">
        <v>44</v>
      </c>
      <c r="L119" s="279">
        <v>54</v>
      </c>
      <c r="M119" s="279">
        <v>71</v>
      </c>
      <c r="N119" s="279">
        <v>88</v>
      </c>
      <c r="O119" s="279">
        <v>117</v>
      </c>
      <c r="P119" s="279">
        <v>140</v>
      </c>
      <c r="Q119" s="279">
        <v>180</v>
      </c>
      <c r="R119" s="260"/>
      <c r="S119" s="260"/>
      <c r="T119" s="260"/>
    </row>
    <row r="120" spans="1:20" s="236" customFormat="1" ht="18">
      <c r="A120" s="248">
        <v>60</v>
      </c>
      <c r="B120" s="279">
        <v>2.7</v>
      </c>
      <c r="C120" s="279">
        <v>4.4000000000000004</v>
      </c>
      <c r="D120" s="279">
        <v>5.2</v>
      </c>
      <c r="E120" s="279">
        <v>10.6</v>
      </c>
      <c r="F120" s="279">
        <v>14</v>
      </c>
      <c r="G120" s="279">
        <v>18.8</v>
      </c>
      <c r="H120" s="279">
        <v>21.6</v>
      </c>
      <c r="I120" s="279">
        <v>27</v>
      </c>
      <c r="J120" s="279">
        <v>37</v>
      </c>
      <c r="K120" s="279">
        <v>46</v>
      </c>
      <c r="L120" s="279">
        <v>55</v>
      </c>
      <c r="M120" s="279">
        <v>72</v>
      </c>
      <c r="N120" s="279">
        <v>90</v>
      </c>
      <c r="O120" s="279">
        <v>120</v>
      </c>
      <c r="P120" s="279">
        <v>145</v>
      </c>
      <c r="Q120" s="279">
        <v>184</v>
      </c>
      <c r="R120" s="260"/>
      <c r="S120" s="260"/>
      <c r="T120" s="260"/>
    </row>
    <row r="121" spans="1:20" s="236" customFormat="1" ht="18">
      <c r="A121" s="248">
        <v>30</v>
      </c>
      <c r="B121" s="279">
        <v>2.8</v>
      </c>
      <c r="C121" s="279">
        <v>4.5999999999999996</v>
      </c>
      <c r="D121" s="279">
        <v>5.4</v>
      </c>
      <c r="E121" s="279">
        <v>10.8</v>
      </c>
      <c r="F121" s="279">
        <v>14</v>
      </c>
      <c r="G121" s="279">
        <v>19</v>
      </c>
      <c r="H121" s="279">
        <v>22</v>
      </c>
      <c r="I121" s="279">
        <v>28</v>
      </c>
      <c r="J121" s="279">
        <v>38</v>
      </c>
      <c r="K121" s="279">
        <v>47</v>
      </c>
      <c r="L121" s="279">
        <v>57</v>
      </c>
      <c r="M121" s="279">
        <v>75</v>
      </c>
      <c r="N121" s="279">
        <v>93</v>
      </c>
      <c r="O121" s="279">
        <v>124</v>
      </c>
      <c r="P121" s="279">
        <v>150</v>
      </c>
      <c r="Q121" s="279">
        <v>190</v>
      </c>
      <c r="R121" s="260"/>
      <c r="S121" s="260"/>
      <c r="T121" s="260"/>
    </row>
    <row r="122" spans="1:20" s="236" customFormat="1" ht="18">
      <c r="A122" s="248">
        <v>10</v>
      </c>
      <c r="B122" s="279">
        <v>3</v>
      </c>
      <c r="C122" s="279">
        <v>4.9000000000000004</v>
      </c>
      <c r="D122" s="279">
        <v>5.8</v>
      </c>
      <c r="E122" s="279">
        <v>11</v>
      </c>
      <c r="F122" s="279">
        <v>14.5</v>
      </c>
      <c r="G122" s="279">
        <v>20</v>
      </c>
      <c r="H122" s="279">
        <v>23</v>
      </c>
      <c r="I122" s="279">
        <v>29</v>
      </c>
      <c r="J122" s="279">
        <v>39</v>
      </c>
      <c r="K122" s="279">
        <v>48</v>
      </c>
      <c r="L122" s="279">
        <v>58</v>
      </c>
      <c r="M122" s="279">
        <v>78</v>
      </c>
      <c r="N122" s="279">
        <v>97</v>
      </c>
      <c r="O122" s="279">
        <v>130</v>
      </c>
      <c r="P122" s="279">
        <v>156</v>
      </c>
      <c r="Q122" s="279">
        <v>200</v>
      </c>
      <c r="R122" s="260"/>
      <c r="S122" s="260"/>
      <c r="T122" s="260"/>
    </row>
    <row r="123" spans="1:20" s="236" customFormat="1" ht="18">
      <c r="A123" s="248">
        <v>4</v>
      </c>
      <c r="B123" s="279">
        <v>4</v>
      </c>
      <c r="C123" s="279">
        <v>6.4</v>
      </c>
      <c r="D123" s="279">
        <v>8.1</v>
      </c>
      <c r="E123" s="279">
        <v>12.2</v>
      </c>
      <c r="F123" s="279">
        <v>16</v>
      </c>
      <c r="G123" s="279">
        <v>21.5</v>
      </c>
      <c r="H123" s="279">
        <v>25</v>
      </c>
      <c r="I123" s="279">
        <v>32</v>
      </c>
      <c r="J123" s="279">
        <v>41</v>
      </c>
      <c r="K123" s="279">
        <v>52</v>
      </c>
      <c r="L123" s="279">
        <v>63</v>
      </c>
      <c r="M123" s="279">
        <v>85</v>
      </c>
      <c r="N123" s="279">
        <v>105</v>
      </c>
      <c r="O123" s="279">
        <v>140</v>
      </c>
      <c r="P123" s="279">
        <v>178</v>
      </c>
      <c r="Q123" s="279">
        <v>240</v>
      </c>
      <c r="R123" s="260"/>
      <c r="S123" s="260"/>
      <c r="T123" s="260"/>
    </row>
    <row r="124" spans="1:20" s="236" customFormat="1" ht="18">
      <c r="A124" s="248">
        <v>1</v>
      </c>
      <c r="B124" s="279">
        <v>7.4</v>
      </c>
      <c r="C124" s="279">
        <v>12</v>
      </c>
      <c r="D124" s="279">
        <v>15.8</v>
      </c>
      <c r="E124" s="279">
        <v>19.8</v>
      </c>
      <c r="F124" s="279">
        <v>26</v>
      </c>
      <c r="G124" s="279">
        <v>33</v>
      </c>
      <c r="H124" s="279">
        <v>38</v>
      </c>
      <c r="I124" s="279">
        <v>48</v>
      </c>
      <c r="J124" s="279">
        <v>60</v>
      </c>
      <c r="K124" s="279">
        <v>72</v>
      </c>
      <c r="L124" s="279">
        <v>90</v>
      </c>
      <c r="M124" s="279">
        <v>125</v>
      </c>
      <c r="N124" s="279">
        <v>142</v>
      </c>
      <c r="O124" s="279">
        <v>210</v>
      </c>
      <c r="P124" s="279">
        <v>300</v>
      </c>
      <c r="Q124" s="279">
        <v>375</v>
      </c>
      <c r="R124" s="260"/>
      <c r="S124" s="260"/>
      <c r="T124" s="260"/>
    </row>
    <row r="125" spans="1:20" s="236" customFormat="1" ht="18">
      <c r="A125" s="248">
        <v>0.5</v>
      </c>
      <c r="B125" s="279">
        <v>10</v>
      </c>
      <c r="C125" s="279">
        <v>16.8</v>
      </c>
      <c r="D125" s="279">
        <v>22</v>
      </c>
      <c r="E125" s="279">
        <v>28</v>
      </c>
      <c r="F125" s="279">
        <v>35</v>
      </c>
      <c r="G125" s="279">
        <v>46</v>
      </c>
      <c r="H125" s="279">
        <v>53</v>
      </c>
      <c r="I125" s="279">
        <v>65</v>
      </c>
      <c r="J125" s="279">
        <v>84</v>
      </c>
      <c r="K125" s="279">
        <v>99</v>
      </c>
      <c r="L125" s="279">
        <v>120</v>
      </c>
      <c r="M125" s="279">
        <v>170</v>
      </c>
      <c r="N125" s="279">
        <v>190</v>
      </c>
      <c r="O125" s="279">
        <v>290</v>
      </c>
      <c r="P125" s="279">
        <v>415</v>
      </c>
      <c r="Q125" s="279">
        <v>520</v>
      </c>
      <c r="R125" s="260"/>
      <c r="S125" s="260"/>
      <c r="T125" s="260"/>
    </row>
    <row r="126" spans="1:20" s="236" customFormat="1" ht="18">
      <c r="A126" s="248">
        <v>0.1</v>
      </c>
      <c r="B126" s="279">
        <v>24</v>
      </c>
      <c r="C126" s="279">
        <v>40</v>
      </c>
      <c r="D126" s="279">
        <v>51</v>
      </c>
      <c r="E126" s="279">
        <v>68</v>
      </c>
      <c r="F126" s="279">
        <v>80</v>
      </c>
      <c r="G126" s="279">
        <v>100</v>
      </c>
      <c r="H126" s="279">
        <v>120</v>
      </c>
      <c r="I126" s="279">
        <v>142</v>
      </c>
      <c r="J126" s="279">
        <v>190</v>
      </c>
      <c r="K126" s="279">
        <v>215</v>
      </c>
      <c r="L126" s="279">
        <v>265</v>
      </c>
      <c r="M126" s="279">
        <v>365</v>
      </c>
      <c r="N126" s="279">
        <v>415</v>
      </c>
      <c r="O126" s="279">
        <v>660</v>
      </c>
      <c r="P126" s="279">
        <v>910</v>
      </c>
      <c r="Q126" s="279">
        <v>1200</v>
      </c>
      <c r="R126" s="260"/>
      <c r="S126" s="260"/>
      <c r="T126" s="260"/>
    </row>
    <row r="127" spans="1:20" s="236" customFormat="1" ht="18">
      <c r="A127" s="248">
        <v>0.08</v>
      </c>
      <c r="B127" s="279">
        <v>27.5</v>
      </c>
      <c r="C127" s="279">
        <v>46</v>
      </c>
      <c r="D127" s="279">
        <v>58</v>
      </c>
      <c r="E127" s="279">
        <v>76</v>
      </c>
      <c r="F127" s="279">
        <v>92</v>
      </c>
      <c r="G127" s="279">
        <v>118</v>
      </c>
      <c r="H127" s="279">
        <v>140</v>
      </c>
      <c r="I127" s="279">
        <v>165</v>
      </c>
      <c r="J127" s="279">
        <v>215</v>
      </c>
      <c r="K127" s="279">
        <v>240</v>
      </c>
      <c r="L127" s="279">
        <v>300</v>
      </c>
      <c r="M127" s="279">
        <v>420</v>
      </c>
      <c r="N127" s="279">
        <v>480</v>
      </c>
      <c r="O127" s="279">
        <v>760</v>
      </c>
      <c r="P127" s="279">
        <v>1080</v>
      </c>
      <c r="Q127" s="279">
        <v>1400</v>
      </c>
      <c r="R127" s="260"/>
      <c r="S127" s="260"/>
      <c r="T127" s="260"/>
    </row>
    <row r="128" spans="1:20" s="236" customFormat="1" ht="18">
      <c r="A128" s="248">
        <v>0.06</v>
      </c>
      <c r="B128" s="279">
        <v>34</v>
      </c>
      <c r="C128" s="279">
        <v>57</v>
      </c>
      <c r="D128" s="279">
        <v>71</v>
      </c>
      <c r="E128" s="279">
        <v>92</v>
      </c>
      <c r="F128" s="279">
        <v>112</v>
      </c>
      <c r="G128" s="279">
        <v>138</v>
      </c>
      <c r="H128" s="279">
        <v>170</v>
      </c>
      <c r="I128" s="279">
        <v>200</v>
      </c>
      <c r="J128" s="279">
        <v>260</v>
      </c>
      <c r="K128" s="279">
        <v>300</v>
      </c>
      <c r="L128" s="279">
        <v>365</v>
      </c>
      <c r="M128" s="279">
        <v>500</v>
      </c>
      <c r="N128" s="279">
        <v>590</v>
      </c>
      <c r="O128" s="279">
        <v>910</v>
      </c>
      <c r="P128" s="279">
        <v>1280</v>
      </c>
      <c r="Q128" s="279">
        <v>1700</v>
      </c>
      <c r="R128" s="260"/>
      <c r="S128" s="260"/>
      <c r="T128" s="260"/>
    </row>
    <row r="129" spans="1:20" s="236" customFormat="1" ht="18">
      <c r="A129" s="248">
        <v>0.04</v>
      </c>
      <c r="B129" s="279">
        <v>47</v>
      </c>
      <c r="C129" s="279">
        <v>78</v>
      </c>
      <c r="D129" s="279">
        <v>96</v>
      </c>
      <c r="E129" s="279">
        <v>128</v>
      </c>
      <c r="F129" s="279">
        <v>154</v>
      </c>
      <c r="G129" s="279">
        <v>180</v>
      </c>
      <c r="H129" s="279">
        <v>240</v>
      </c>
      <c r="I129" s="279">
        <v>270</v>
      </c>
      <c r="J129" s="279">
        <v>350</v>
      </c>
      <c r="K129" s="279">
        <v>400</v>
      </c>
      <c r="L129" s="279">
        <v>500</v>
      </c>
      <c r="M129" s="279">
        <v>670</v>
      </c>
      <c r="N129" s="279">
        <v>800</v>
      </c>
      <c r="O129" s="279">
        <v>1200</v>
      </c>
      <c r="P129" s="279">
        <v>1700</v>
      </c>
      <c r="Q129" s="279">
        <v>2250</v>
      </c>
      <c r="R129" s="260"/>
      <c r="S129" s="260"/>
      <c r="T129" s="260"/>
    </row>
    <row r="130" spans="1:20" s="236" customFormat="1" ht="18">
      <c r="A130" s="248">
        <v>0.03</v>
      </c>
      <c r="B130" s="279">
        <v>60</v>
      </c>
      <c r="C130" s="279">
        <v>100</v>
      </c>
      <c r="D130" s="279">
        <v>120</v>
      </c>
      <c r="E130" s="279">
        <v>160</v>
      </c>
      <c r="F130" s="279">
        <v>195</v>
      </c>
      <c r="G130" s="279">
        <v>235</v>
      </c>
      <c r="H130" s="279">
        <v>300</v>
      </c>
      <c r="I130" s="279">
        <v>348</v>
      </c>
      <c r="J130" s="279">
        <v>450</v>
      </c>
      <c r="K130" s="279">
        <v>520</v>
      </c>
      <c r="L130" s="279">
        <v>620</v>
      </c>
      <c r="M130" s="279">
        <v>870</v>
      </c>
      <c r="N130" s="279">
        <v>1050</v>
      </c>
      <c r="O130" s="279">
        <v>1480</v>
      </c>
      <c r="P130" s="279">
        <v>2200</v>
      </c>
      <c r="Q130" s="279">
        <v>2900</v>
      </c>
      <c r="R130" s="260"/>
      <c r="S130" s="260"/>
      <c r="T130" s="260"/>
    </row>
    <row r="131" spans="1:20" s="236" customFormat="1" ht="18">
      <c r="A131" s="248">
        <v>0.02</v>
      </c>
      <c r="B131" s="279">
        <v>90</v>
      </c>
      <c r="C131" s="279">
        <v>140</v>
      </c>
      <c r="D131" s="279">
        <v>170</v>
      </c>
      <c r="E131" s="279">
        <v>238</v>
      </c>
      <c r="F131" s="279">
        <v>275</v>
      </c>
      <c r="G131" s="279">
        <v>340</v>
      </c>
      <c r="H131" s="279">
        <v>425</v>
      </c>
      <c r="I131" s="279">
        <v>500</v>
      </c>
      <c r="J131" s="279">
        <v>640</v>
      </c>
      <c r="K131" s="279">
        <v>750</v>
      </c>
      <c r="L131" s="279">
        <v>890</v>
      </c>
      <c r="M131" s="279">
        <v>1200</v>
      </c>
      <c r="N131" s="279">
        <v>1500</v>
      </c>
      <c r="O131" s="279">
        <v>1950</v>
      </c>
      <c r="P131" s="279">
        <v>3100</v>
      </c>
      <c r="Q131" s="279">
        <v>4250</v>
      </c>
      <c r="R131" s="260"/>
      <c r="S131" s="260"/>
      <c r="T131" s="260"/>
    </row>
    <row r="132" spans="1:20" s="236" customFormat="1" ht="18">
      <c r="A132" s="248">
        <v>1.4E-2</v>
      </c>
      <c r="B132" s="279">
        <v>130</v>
      </c>
      <c r="C132" s="279">
        <v>190</v>
      </c>
      <c r="D132" s="279">
        <v>230</v>
      </c>
      <c r="E132" s="279">
        <v>330</v>
      </c>
      <c r="F132" s="279">
        <v>370</v>
      </c>
      <c r="G132" s="279">
        <v>480</v>
      </c>
      <c r="H132" s="279">
        <v>560</v>
      </c>
      <c r="I132" s="279">
        <v>680</v>
      </c>
      <c r="J132" s="279">
        <v>880</v>
      </c>
      <c r="K132" s="279">
        <v>1000</v>
      </c>
      <c r="L132" s="279">
        <v>1200</v>
      </c>
      <c r="M132" s="279">
        <v>1650</v>
      </c>
      <c r="N132" s="279">
        <v>2000</v>
      </c>
      <c r="O132" s="279">
        <v>2580</v>
      </c>
      <c r="P132" s="279">
        <v>4100</v>
      </c>
      <c r="Q132" s="279">
        <v>6000</v>
      </c>
      <c r="R132" s="260"/>
      <c r="S132" s="260"/>
      <c r="T132" s="260"/>
    </row>
    <row r="133" spans="1:20" s="236" customFormat="1" ht="18">
      <c r="A133" s="248">
        <v>0.01</v>
      </c>
      <c r="B133" s="279">
        <f t="shared" ref="B133:Q133" si="0">B132*10</f>
        <v>1300</v>
      </c>
      <c r="C133" s="279">
        <f t="shared" si="0"/>
        <v>1900</v>
      </c>
      <c r="D133" s="279">
        <f t="shared" si="0"/>
        <v>2300</v>
      </c>
      <c r="E133" s="279">
        <f t="shared" si="0"/>
        <v>3300</v>
      </c>
      <c r="F133" s="279">
        <f t="shared" si="0"/>
        <v>3700</v>
      </c>
      <c r="G133" s="279">
        <f t="shared" si="0"/>
        <v>4800</v>
      </c>
      <c r="H133" s="279">
        <f t="shared" si="0"/>
        <v>5600</v>
      </c>
      <c r="I133" s="279">
        <f t="shared" si="0"/>
        <v>6800</v>
      </c>
      <c r="J133" s="279">
        <f t="shared" si="0"/>
        <v>8800</v>
      </c>
      <c r="K133" s="279">
        <f t="shared" si="0"/>
        <v>10000</v>
      </c>
      <c r="L133" s="279">
        <f t="shared" si="0"/>
        <v>12000</v>
      </c>
      <c r="M133" s="279">
        <f t="shared" si="0"/>
        <v>16500</v>
      </c>
      <c r="N133" s="279">
        <f t="shared" si="0"/>
        <v>20000</v>
      </c>
      <c r="O133" s="279">
        <f t="shared" si="0"/>
        <v>25800</v>
      </c>
      <c r="P133" s="279">
        <f t="shared" si="0"/>
        <v>41000</v>
      </c>
      <c r="Q133" s="279">
        <f t="shared" si="0"/>
        <v>60000</v>
      </c>
      <c r="R133" s="260"/>
      <c r="S133" s="260"/>
      <c r="T133" s="260"/>
    </row>
    <row r="134" spans="1:20" s="236" customFormat="1"/>
    <row r="135" spans="1:20" s="236" customFormat="1"/>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6"/>
  <dimension ref="A1:F82"/>
  <sheetViews>
    <sheetView topLeftCell="A16" workbookViewId="0">
      <selection activeCell="D22" sqref="D22"/>
    </sheetView>
  </sheetViews>
  <sheetFormatPr baseColWidth="10" defaultRowHeight="15"/>
  <sheetData>
    <row r="1" spans="1:6" ht="48">
      <c r="A1" s="362" t="s">
        <v>176</v>
      </c>
      <c r="B1" s="17" t="s">
        <v>177</v>
      </c>
      <c r="C1" s="17" t="s">
        <v>178</v>
      </c>
      <c r="D1" s="17" t="s">
        <v>179</v>
      </c>
      <c r="E1" s="17" t="s">
        <v>180</v>
      </c>
      <c r="F1" s="17" t="s">
        <v>181</v>
      </c>
    </row>
    <row r="2" spans="1:6">
      <c r="A2" s="363"/>
      <c r="B2" s="17">
        <v>1</v>
      </c>
      <c r="C2" s="17">
        <v>2</v>
      </c>
      <c r="D2" s="17">
        <v>3</v>
      </c>
      <c r="E2" s="17">
        <v>4</v>
      </c>
      <c r="F2" s="17">
        <v>5</v>
      </c>
    </row>
    <row r="3" spans="1:6">
      <c r="A3" s="18">
        <v>1</v>
      </c>
      <c r="B3" s="18">
        <v>1.2290000000000001</v>
      </c>
      <c r="C3" s="18">
        <v>4.51</v>
      </c>
      <c r="D3" s="18">
        <v>8.7929999999999993</v>
      </c>
      <c r="E3" s="18">
        <v>12.728</v>
      </c>
      <c r="F3" s="18">
        <v>12.956</v>
      </c>
    </row>
    <row r="4" spans="1:6">
      <c r="A4" s="18">
        <v>2</v>
      </c>
      <c r="B4" s="18">
        <v>1.0900000000000001</v>
      </c>
      <c r="C4" s="18">
        <v>3.0310000000000001</v>
      </c>
      <c r="D4" s="18">
        <v>3.0510000000000002</v>
      </c>
      <c r="E4" s="18">
        <v>3.1179999999999999</v>
      </c>
      <c r="F4" s="18">
        <v>6.8230000000000004</v>
      </c>
    </row>
    <row r="5" spans="1:6">
      <c r="A5" s="18">
        <v>3</v>
      </c>
      <c r="B5" s="18">
        <v>0.99</v>
      </c>
      <c r="C5" s="18">
        <v>2.319</v>
      </c>
      <c r="D5" s="18">
        <v>1.97</v>
      </c>
      <c r="E5" s="18">
        <v>1.9390000000000001</v>
      </c>
      <c r="F5" s="18">
        <v>4.6459999999999999</v>
      </c>
    </row>
    <row r="6" spans="1:6">
      <c r="A6" s="18">
        <v>4</v>
      </c>
      <c r="B6" s="18">
        <v>0.91300000000000003</v>
      </c>
      <c r="C6" s="18">
        <v>1.901</v>
      </c>
      <c r="D6" s="18">
        <v>1.514</v>
      </c>
      <c r="E6" s="18">
        <v>1.478</v>
      </c>
      <c r="F6" s="18">
        <v>3.5310000000000001</v>
      </c>
    </row>
    <row r="7" spans="1:6">
      <c r="A7" s="18">
        <v>5</v>
      </c>
      <c r="B7" s="18">
        <v>0.85399999999999998</v>
      </c>
      <c r="C7" s="18">
        <v>1.625</v>
      </c>
      <c r="D7" s="18">
        <v>1.262</v>
      </c>
      <c r="E7" s="18">
        <v>1.2330000000000001</v>
      </c>
      <c r="F7" s="18">
        <v>2.8540000000000001</v>
      </c>
    </row>
    <row r="8" spans="1:6">
      <c r="A8" s="18">
        <v>6</v>
      </c>
      <c r="B8" s="18">
        <v>0.80600000000000005</v>
      </c>
      <c r="C8" s="18">
        <v>1.429</v>
      </c>
      <c r="D8" s="18">
        <v>1.103</v>
      </c>
      <c r="E8" s="18">
        <v>1.081</v>
      </c>
      <c r="F8" s="18">
        <v>2.3980000000000001</v>
      </c>
    </row>
    <row r="9" spans="1:6">
      <c r="A9" s="18">
        <v>7</v>
      </c>
      <c r="B9" s="18">
        <v>0.76600000000000001</v>
      </c>
      <c r="C9" s="18">
        <v>1.284</v>
      </c>
      <c r="D9" s="18">
        <v>0.99199999999999999</v>
      </c>
      <c r="E9" s="18">
        <v>0.97699999999999998</v>
      </c>
      <c r="F9" s="18">
        <v>2.0710000000000002</v>
      </c>
    </row>
    <row r="10" spans="1:6">
      <c r="A10" s="18">
        <v>8</v>
      </c>
      <c r="B10" s="18">
        <v>0.73299999999999998</v>
      </c>
      <c r="C10" s="18">
        <v>1.171</v>
      </c>
      <c r="D10" s="18">
        <v>0.91200000000000003</v>
      </c>
      <c r="E10" s="18">
        <v>0.90200000000000002</v>
      </c>
      <c r="F10" s="18">
        <v>1.825</v>
      </c>
    </row>
    <row r="11" spans="1:6">
      <c r="A11" s="18">
        <v>9</v>
      </c>
      <c r="B11" s="18">
        <v>0.70499999999999996</v>
      </c>
      <c r="C11" s="18">
        <v>1.081</v>
      </c>
      <c r="D11" s="18">
        <v>0.85</v>
      </c>
      <c r="E11" s="18">
        <v>0.84499999999999997</v>
      </c>
      <c r="F11" s="18">
        <v>1.6319999999999999</v>
      </c>
    </row>
    <row r="12" spans="1:6">
      <c r="A12" s="18">
        <v>10</v>
      </c>
      <c r="B12" s="18">
        <v>0.68100000000000005</v>
      </c>
      <c r="C12" s="18">
        <v>1.008</v>
      </c>
      <c r="D12" s="18">
        <v>0.80100000000000005</v>
      </c>
      <c r="E12" s="18">
        <v>0.8</v>
      </c>
      <c r="F12" s="18">
        <v>1.478</v>
      </c>
    </row>
    <row r="13" spans="1:6">
      <c r="A13" s="18">
        <v>11</v>
      </c>
      <c r="B13" s="18">
        <v>0.66</v>
      </c>
      <c r="C13" s="18">
        <v>0.94699999999999995</v>
      </c>
      <c r="D13" s="18">
        <v>0.76200000000000001</v>
      </c>
      <c r="E13" s="18">
        <v>0.76400000000000001</v>
      </c>
      <c r="F13" s="18">
        <v>1.3520000000000001</v>
      </c>
    </row>
    <row r="14" spans="1:6">
      <c r="A14" s="18">
        <v>12</v>
      </c>
      <c r="B14" s="18">
        <v>0.64100000000000001</v>
      </c>
      <c r="C14" s="18">
        <v>0.89500000000000002</v>
      </c>
      <c r="D14" s="18">
        <v>0.73</v>
      </c>
      <c r="E14" s="18">
        <v>0.73399999999999999</v>
      </c>
      <c r="F14" s="18">
        <v>1.246</v>
      </c>
    </row>
    <row r="15" spans="1:6">
      <c r="A15" s="18">
        <v>13</v>
      </c>
      <c r="B15" s="18">
        <v>0.625</v>
      </c>
      <c r="C15" s="18">
        <v>0.85099999999999998</v>
      </c>
      <c r="D15" s="18">
        <v>0.70199999999999996</v>
      </c>
      <c r="E15" s="18">
        <v>0.70899999999999996</v>
      </c>
      <c r="F15" s="18">
        <v>1.157</v>
      </c>
    </row>
    <row r="16" spans="1:6">
      <c r="A16" s="18">
        <v>14</v>
      </c>
      <c r="B16" s="18">
        <v>0.61</v>
      </c>
      <c r="C16" s="18">
        <v>0.81299999999999994</v>
      </c>
      <c r="D16" s="18">
        <v>0.67900000000000005</v>
      </c>
      <c r="E16" s="18">
        <v>0.68799999999999994</v>
      </c>
      <c r="F16" s="18">
        <v>1.08</v>
      </c>
    </row>
    <row r="17" spans="1:6">
      <c r="A17" s="18">
        <v>15</v>
      </c>
      <c r="B17" s="18">
        <v>0.59799999999999998</v>
      </c>
      <c r="C17" s="18">
        <v>0.77900000000000003</v>
      </c>
      <c r="D17" s="18">
        <v>0.65900000000000003</v>
      </c>
      <c r="E17" s="18">
        <v>0.67</v>
      </c>
      <c r="F17" s="18">
        <v>1.014</v>
      </c>
    </row>
    <row r="18" spans="1:6">
      <c r="A18" s="18">
        <v>16</v>
      </c>
      <c r="B18" s="18">
        <v>0.58599999999999997</v>
      </c>
      <c r="C18" s="18">
        <v>0.75</v>
      </c>
      <c r="D18" s="18">
        <v>0.64200000000000002</v>
      </c>
      <c r="E18" s="18">
        <v>0.65400000000000003</v>
      </c>
      <c r="F18" s="18">
        <v>0.95499999999999996</v>
      </c>
    </row>
    <row r="19" spans="1:6">
      <c r="A19" s="18">
        <v>17</v>
      </c>
      <c r="B19" s="18">
        <v>0.57499999999999996</v>
      </c>
      <c r="C19" s="18">
        <v>0.72399999999999998</v>
      </c>
      <c r="D19" s="18">
        <v>0.626</v>
      </c>
      <c r="E19" s="18">
        <v>0.64100000000000001</v>
      </c>
      <c r="F19" s="18">
        <v>0.90400000000000003</v>
      </c>
    </row>
    <row r="20" spans="1:6">
      <c r="A20" s="18">
        <v>18</v>
      </c>
      <c r="B20" s="18">
        <v>0.56599999999999995</v>
      </c>
      <c r="C20" s="18">
        <v>0.70099999999999996</v>
      </c>
      <c r="D20" s="18">
        <v>0.61299999999999999</v>
      </c>
      <c r="E20" s="18">
        <v>0.628</v>
      </c>
      <c r="F20" s="18">
        <v>0.85799999999999998</v>
      </c>
    </row>
    <row r="21" spans="1:6">
      <c r="A21" s="18">
        <v>19</v>
      </c>
      <c r="B21" s="18">
        <v>0.55700000000000005</v>
      </c>
      <c r="C21" s="18">
        <v>0.68</v>
      </c>
      <c r="D21" s="18">
        <v>0.60099999999999998</v>
      </c>
      <c r="E21" s="18">
        <v>0.61699999999999999</v>
      </c>
      <c r="F21" s="18">
        <v>0.81699999999999995</v>
      </c>
    </row>
    <row r="22" spans="1:6">
      <c r="A22" s="18">
        <v>20</v>
      </c>
      <c r="B22" s="18">
        <v>0.54900000000000004</v>
      </c>
      <c r="C22" s="18">
        <v>0.66100000000000003</v>
      </c>
      <c r="D22" s="18">
        <v>0.59</v>
      </c>
      <c r="E22" s="18">
        <v>0.60799999999999998</v>
      </c>
      <c r="F22" s="18">
        <v>0.78</v>
      </c>
    </row>
    <row r="23" spans="1:6">
      <c r="A23" s="18">
        <v>21</v>
      </c>
      <c r="B23" s="18">
        <v>0.54100000000000004</v>
      </c>
      <c r="C23" s="18">
        <v>0.64300000000000002</v>
      </c>
      <c r="D23" s="18">
        <v>0.57999999999999996</v>
      </c>
      <c r="E23" s="18">
        <v>0.59899999999999998</v>
      </c>
      <c r="F23" s="18">
        <v>0.747</v>
      </c>
    </row>
    <row r="24" spans="1:6">
      <c r="A24" s="18">
        <v>22</v>
      </c>
      <c r="B24" s="18">
        <v>0.53500000000000003</v>
      </c>
      <c r="C24" s="18">
        <v>0.628</v>
      </c>
      <c r="D24" s="18">
        <v>0.57099999999999995</v>
      </c>
      <c r="E24" s="18">
        <v>0.59099999999999997</v>
      </c>
      <c r="F24" s="18">
        <v>0.71599999999999997</v>
      </c>
    </row>
    <row r="25" spans="1:6">
      <c r="A25" s="18">
        <v>23</v>
      </c>
      <c r="B25" s="18">
        <v>0.52800000000000002</v>
      </c>
      <c r="C25" s="18">
        <v>0.61299999999999999</v>
      </c>
      <c r="D25" s="18">
        <v>0.56299999999999994</v>
      </c>
      <c r="E25" s="18">
        <v>0.58399999999999996</v>
      </c>
      <c r="F25" s="18">
        <v>0.68899999999999995</v>
      </c>
    </row>
    <row r="26" spans="1:6">
      <c r="A26" s="18">
        <v>24</v>
      </c>
      <c r="B26" s="18">
        <v>0.52200000000000002</v>
      </c>
      <c r="C26" s="18">
        <v>0.6</v>
      </c>
      <c r="D26" s="18">
        <v>0.55600000000000005</v>
      </c>
      <c r="E26" s="18">
        <v>0.57699999999999996</v>
      </c>
      <c r="F26" s="18">
        <v>0.66300000000000003</v>
      </c>
    </row>
    <row r="27" spans="1:6">
      <c r="A27" s="18">
        <v>25</v>
      </c>
      <c r="B27" s="18">
        <v>0.51700000000000002</v>
      </c>
      <c r="C27" s="18">
        <v>0.58799999999999997</v>
      </c>
      <c r="D27" s="18">
        <v>0.54900000000000004</v>
      </c>
      <c r="E27" s="18">
        <v>0.57099999999999995</v>
      </c>
      <c r="F27" s="18">
        <v>0.64</v>
      </c>
    </row>
    <row r="28" spans="1:6">
      <c r="A28" s="18">
        <v>26</v>
      </c>
      <c r="B28" s="18">
        <v>0.51100000000000001</v>
      </c>
      <c r="C28" s="18">
        <v>0.57599999999999996</v>
      </c>
      <c r="D28" s="18">
        <v>0.54300000000000004</v>
      </c>
      <c r="E28" s="18">
        <v>0.56499999999999995</v>
      </c>
      <c r="F28" s="18">
        <v>0.61799999999999999</v>
      </c>
    </row>
    <row r="29" spans="1:6">
      <c r="A29" s="18">
        <v>27</v>
      </c>
      <c r="B29" s="18">
        <v>0.50700000000000001</v>
      </c>
      <c r="C29" s="18">
        <v>0.56599999999999995</v>
      </c>
      <c r="D29" s="18">
        <v>0.53700000000000003</v>
      </c>
      <c r="E29" s="18">
        <v>0.56000000000000005</v>
      </c>
      <c r="F29" s="18">
        <v>0.59799999999999998</v>
      </c>
    </row>
    <row r="30" spans="1:6">
      <c r="A30" s="18">
        <v>28</v>
      </c>
      <c r="B30" s="18">
        <v>0.502</v>
      </c>
      <c r="C30" s="18">
        <v>0.55600000000000005</v>
      </c>
      <c r="D30" s="18">
        <v>0.53200000000000003</v>
      </c>
      <c r="E30" s="18">
        <v>0.55500000000000005</v>
      </c>
      <c r="F30" s="18">
        <v>0.57899999999999996</v>
      </c>
    </row>
    <row r="31" spans="1:6">
      <c r="A31" s="18">
        <v>29</v>
      </c>
      <c r="B31" s="18">
        <v>0.498</v>
      </c>
      <c r="C31" s="18">
        <v>0.54700000000000004</v>
      </c>
      <c r="D31" s="18">
        <v>0.52700000000000002</v>
      </c>
      <c r="E31" s="18">
        <v>0.55100000000000005</v>
      </c>
      <c r="F31" s="18">
        <v>0.56200000000000006</v>
      </c>
    </row>
    <row r="32" spans="1:6">
      <c r="A32" s="18">
        <v>30</v>
      </c>
      <c r="B32" s="18">
        <v>0.49399999999999999</v>
      </c>
      <c r="C32" s="18">
        <v>0.53800000000000003</v>
      </c>
      <c r="D32" s="18">
        <v>0.52200000000000002</v>
      </c>
      <c r="E32" s="18">
        <v>0.54700000000000004</v>
      </c>
      <c r="F32" s="18">
        <v>0.56200000000000006</v>
      </c>
    </row>
    <row r="33" spans="1:6">
      <c r="A33" s="18">
        <v>31</v>
      </c>
      <c r="B33" s="18">
        <v>0.49</v>
      </c>
      <c r="C33" s="18">
        <v>0.53</v>
      </c>
      <c r="D33" s="18">
        <v>0.51800000000000002</v>
      </c>
      <c r="E33" s="18">
        <v>0.54300000000000004</v>
      </c>
      <c r="F33" s="18">
        <v>0.56200000000000006</v>
      </c>
    </row>
    <row r="34" spans="1:6">
      <c r="A34" s="18">
        <v>32</v>
      </c>
      <c r="B34" s="18">
        <v>0.48599999999999999</v>
      </c>
      <c r="C34" s="18">
        <v>0.52300000000000002</v>
      </c>
      <c r="D34" s="18">
        <v>0.51400000000000001</v>
      </c>
      <c r="E34" s="18">
        <v>0.53900000000000003</v>
      </c>
      <c r="F34" s="18">
        <v>0.56200000000000006</v>
      </c>
    </row>
    <row r="35" spans="1:6">
      <c r="A35" s="18">
        <v>33</v>
      </c>
      <c r="B35" s="18">
        <v>0.48299999999999998</v>
      </c>
      <c r="C35" s="18">
        <v>0.51600000000000001</v>
      </c>
      <c r="D35" s="18">
        <v>0.51</v>
      </c>
      <c r="E35" s="18">
        <v>0.53600000000000003</v>
      </c>
      <c r="F35" s="18">
        <v>0.56200000000000006</v>
      </c>
    </row>
    <row r="36" spans="1:6">
      <c r="A36" s="18">
        <v>34</v>
      </c>
      <c r="B36" s="18">
        <v>0.48</v>
      </c>
      <c r="C36" s="18">
        <v>0.50900000000000001</v>
      </c>
      <c r="D36" s="18">
        <v>0.50600000000000001</v>
      </c>
      <c r="E36" s="18">
        <v>0.53300000000000003</v>
      </c>
      <c r="F36" s="18">
        <v>0.56200000000000006</v>
      </c>
    </row>
    <row r="37" spans="1:6">
      <c r="A37" s="18">
        <v>35</v>
      </c>
      <c r="B37" s="18">
        <v>0.47699999999999998</v>
      </c>
      <c r="C37" s="18">
        <v>0.503</v>
      </c>
      <c r="D37" s="18">
        <v>0.503</v>
      </c>
      <c r="E37" s="18">
        <v>0.53</v>
      </c>
      <c r="F37" s="18">
        <v>0.56200000000000006</v>
      </c>
    </row>
    <row r="38" spans="1:6">
      <c r="A38" s="18">
        <v>36</v>
      </c>
      <c r="B38" s="18">
        <v>0.47399999999999998</v>
      </c>
      <c r="C38" s="18">
        <v>0.497</v>
      </c>
      <c r="D38" s="18">
        <v>0.5</v>
      </c>
      <c r="E38" s="18">
        <v>0.52700000000000002</v>
      </c>
      <c r="F38" s="18">
        <v>0.56200000000000006</v>
      </c>
    </row>
    <row r="39" spans="1:6">
      <c r="A39" s="18">
        <v>37</v>
      </c>
      <c r="B39" s="18">
        <v>0.47099999999999997</v>
      </c>
      <c r="C39" s="18">
        <v>0.49099999999999999</v>
      </c>
      <c r="D39" s="18">
        <v>0.497</v>
      </c>
      <c r="E39" s="18">
        <v>0.52400000000000002</v>
      </c>
      <c r="F39" s="18">
        <v>0.56200000000000006</v>
      </c>
    </row>
    <row r="40" spans="1:6">
      <c r="A40" s="18">
        <v>38</v>
      </c>
      <c r="B40" s="18">
        <v>0.46899999999999997</v>
      </c>
      <c r="C40" s="18">
        <v>0.48599999999999999</v>
      </c>
      <c r="D40" s="18">
        <v>0.49399999999999999</v>
      </c>
      <c r="E40" s="18">
        <v>0.52100000000000002</v>
      </c>
      <c r="F40" s="18">
        <v>0.56200000000000006</v>
      </c>
    </row>
    <row r="41" spans="1:6">
      <c r="A41" s="18">
        <v>39</v>
      </c>
      <c r="B41" s="18">
        <v>0.46600000000000003</v>
      </c>
      <c r="C41" s="18">
        <v>0.48099999999999998</v>
      </c>
      <c r="D41" s="18">
        <v>0.49099999999999999</v>
      </c>
      <c r="E41" s="18">
        <v>0.51900000000000002</v>
      </c>
      <c r="F41" s="18">
        <v>0.56200000000000006</v>
      </c>
    </row>
    <row r="42" spans="1:6">
      <c r="A42" s="18">
        <v>40</v>
      </c>
      <c r="B42" s="18">
        <v>0.46400000000000002</v>
      </c>
      <c r="C42" s="18">
        <v>0.47599999999999998</v>
      </c>
      <c r="D42" s="18">
        <v>0.48899999999999999</v>
      </c>
      <c r="E42" s="18">
        <v>0.51700000000000002</v>
      </c>
      <c r="F42" s="18">
        <v>0.56200000000000006</v>
      </c>
    </row>
    <row r="43" spans="1:6">
      <c r="A43" s="18">
        <v>41</v>
      </c>
      <c r="B43" s="18">
        <v>0.46100000000000002</v>
      </c>
      <c r="C43" s="18">
        <v>0.47099999999999997</v>
      </c>
      <c r="D43" s="18">
        <v>0.48599999999999999</v>
      </c>
      <c r="E43" s="18">
        <v>0.51500000000000001</v>
      </c>
      <c r="F43" s="18">
        <v>0.56200000000000006</v>
      </c>
    </row>
    <row r="44" spans="1:6">
      <c r="A44" s="18">
        <v>42</v>
      </c>
      <c r="B44" s="18">
        <v>0.45900000000000002</v>
      </c>
      <c r="C44" s="18">
        <v>0.46700000000000003</v>
      </c>
      <c r="D44" s="18">
        <v>0.48399999999999999</v>
      </c>
      <c r="E44" s="18">
        <v>0.51200000000000001</v>
      </c>
      <c r="F44" s="18">
        <v>0.56200000000000006</v>
      </c>
    </row>
    <row r="45" spans="1:6">
      <c r="A45" s="18">
        <v>43</v>
      </c>
      <c r="B45" s="18">
        <v>0.45700000000000002</v>
      </c>
      <c r="C45" s="18">
        <v>0.46300000000000002</v>
      </c>
      <c r="D45" s="18">
        <v>0.48199999999999998</v>
      </c>
      <c r="E45" s="18">
        <v>0.51100000000000001</v>
      </c>
      <c r="F45" s="18">
        <v>0.56200000000000006</v>
      </c>
    </row>
    <row r="46" spans="1:6">
      <c r="A46" s="18">
        <v>44</v>
      </c>
      <c r="B46" s="18">
        <v>0.45500000000000002</v>
      </c>
      <c r="C46" s="18">
        <v>0.45900000000000002</v>
      </c>
      <c r="D46" s="18">
        <v>0.47899999999999998</v>
      </c>
      <c r="E46" s="18">
        <v>0.50900000000000001</v>
      </c>
      <c r="F46" s="18">
        <v>0.56200000000000006</v>
      </c>
    </row>
    <row r="47" spans="1:6">
      <c r="A47" s="18">
        <v>45</v>
      </c>
      <c r="B47" s="18">
        <v>0.45300000000000001</v>
      </c>
      <c r="C47" s="18">
        <v>0.45500000000000002</v>
      </c>
      <c r="D47" s="18">
        <v>0.47699999999999998</v>
      </c>
      <c r="E47" s="18">
        <v>0.50700000000000001</v>
      </c>
      <c r="F47" s="18">
        <v>0.56200000000000006</v>
      </c>
    </row>
    <row r="48" spans="1:6">
      <c r="A48" s="18">
        <v>46</v>
      </c>
      <c r="B48" s="18">
        <v>0.45100000000000001</v>
      </c>
      <c r="C48" s="18">
        <v>0.45500000000000002</v>
      </c>
      <c r="D48" s="18">
        <v>0.47599999999999998</v>
      </c>
      <c r="E48" s="18">
        <v>0.505</v>
      </c>
      <c r="F48" s="18">
        <v>0.56200000000000006</v>
      </c>
    </row>
    <row r="49" spans="1:6">
      <c r="A49" s="18">
        <v>47</v>
      </c>
      <c r="B49" s="18">
        <v>0.45</v>
      </c>
      <c r="C49" s="18">
        <v>0.44800000000000001</v>
      </c>
      <c r="D49" s="18">
        <v>0.47399999999999998</v>
      </c>
      <c r="E49" s="18">
        <v>0.503</v>
      </c>
      <c r="F49" s="18">
        <v>0.56200000000000006</v>
      </c>
    </row>
    <row r="50" spans="1:6">
      <c r="A50" s="18">
        <v>48</v>
      </c>
      <c r="B50" s="18">
        <v>0.44800000000000001</v>
      </c>
      <c r="C50" s="18">
        <v>0.44500000000000001</v>
      </c>
      <c r="D50" s="18">
        <v>0.47199999999999998</v>
      </c>
      <c r="E50" s="18">
        <v>0.502</v>
      </c>
      <c r="F50" s="18">
        <v>0.56200000000000006</v>
      </c>
    </row>
    <row r="51" spans="1:6">
      <c r="A51" s="18">
        <v>49</v>
      </c>
      <c r="B51" s="18">
        <v>0.44600000000000001</v>
      </c>
      <c r="C51" s="18">
        <v>0.441</v>
      </c>
      <c r="D51" s="18">
        <v>0.47</v>
      </c>
      <c r="E51" s="18">
        <v>0.5</v>
      </c>
      <c r="F51" s="18">
        <v>0.56200000000000006</v>
      </c>
    </row>
    <row r="52" spans="1:6">
      <c r="A52" s="18">
        <v>50</v>
      </c>
      <c r="B52" s="18">
        <v>0.44500000000000001</v>
      </c>
      <c r="C52" s="18">
        <v>0.438</v>
      </c>
      <c r="D52" s="18">
        <v>0.46899999999999997</v>
      </c>
      <c r="E52" s="18">
        <v>0.499</v>
      </c>
      <c r="F52" s="18">
        <v>0.56200000000000006</v>
      </c>
    </row>
    <row r="53" spans="1:6">
      <c r="A53" s="18">
        <v>51</v>
      </c>
      <c r="B53" s="18">
        <v>0.443</v>
      </c>
      <c r="C53" s="18">
        <v>0.435</v>
      </c>
      <c r="D53" s="18">
        <v>0.46700000000000003</v>
      </c>
      <c r="E53" s="18">
        <v>0.498</v>
      </c>
      <c r="F53" s="18">
        <v>0.56200000000000006</v>
      </c>
    </row>
    <row r="54" spans="1:6">
      <c r="A54" s="18">
        <v>52</v>
      </c>
      <c r="B54" s="18">
        <v>0.442</v>
      </c>
      <c r="C54" s="18">
        <v>0.432</v>
      </c>
      <c r="D54" s="18">
        <v>0.46600000000000003</v>
      </c>
      <c r="E54" s="18">
        <v>0.496</v>
      </c>
      <c r="F54" s="18">
        <v>0.56200000000000006</v>
      </c>
    </row>
    <row r="55" spans="1:6">
      <c r="A55" s="18">
        <v>53</v>
      </c>
      <c r="B55" s="18">
        <v>0.44</v>
      </c>
      <c r="C55" s="18">
        <v>0.43</v>
      </c>
      <c r="D55" s="18">
        <v>0.46400000000000002</v>
      </c>
      <c r="E55" s="18">
        <v>0.495</v>
      </c>
      <c r="F55" s="18">
        <v>0.56200000000000006</v>
      </c>
    </row>
    <row r="56" spans="1:6">
      <c r="A56" s="18">
        <v>54</v>
      </c>
      <c r="B56" s="18">
        <v>0.439</v>
      </c>
      <c r="C56" s="18">
        <v>0.42699999999999999</v>
      </c>
      <c r="D56" s="18">
        <v>0.46300000000000002</v>
      </c>
      <c r="E56" s="18">
        <v>0.49399999999999999</v>
      </c>
      <c r="F56" s="18">
        <v>0.56200000000000006</v>
      </c>
    </row>
    <row r="57" spans="1:6">
      <c r="A57" s="18">
        <v>55</v>
      </c>
      <c r="B57" s="18">
        <v>0.438</v>
      </c>
      <c r="C57" s="18">
        <v>0.42399999999999999</v>
      </c>
      <c r="D57" s="18">
        <v>0.46100000000000002</v>
      </c>
      <c r="E57" s="18">
        <v>0.49299999999999999</v>
      </c>
      <c r="F57" s="18">
        <v>0.56200000000000006</v>
      </c>
    </row>
    <row r="58" spans="1:6">
      <c r="A58" s="18">
        <v>56</v>
      </c>
      <c r="B58" s="18">
        <v>0.436</v>
      </c>
      <c r="C58" s="18">
        <v>0.42199999999999999</v>
      </c>
      <c r="D58" s="18">
        <v>0.46</v>
      </c>
      <c r="E58" s="18">
        <v>0.49099999999999999</v>
      </c>
      <c r="F58" s="18">
        <v>0.56200000000000006</v>
      </c>
    </row>
    <row r="59" spans="1:6">
      <c r="A59" s="18">
        <v>57</v>
      </c>
      <c r="B59" s="18">
        <v>0.435</v>
      </c>
      <c r="C59" s="18">
        <v>0.42</v>
      </c>
      <c r="D59" s="18">
        <v>0.45900000000000002</v>
      </c>
      <c r="E59" s="18">
        <v>0.49</v>
      </c>
      <c r="F59" s="18">
        <v>0.56200000000000006</v>
      </c>
    </row>
    <row r="60" spans="1:6">
      <c r="A60" s="18">
        <v>58</v>
      </c>
      <c r="B60" s="18">
        <v>0.434</v>
      </c>
      <c r="C60" s="18">
        <v>0.41699999999999998</v>
      </c>
      <c r="D60" s="18">
        <v>0.45800000000000002</v>
      </c>
      <c r="E60" s="18">
        <v>0.48899999999999999</v>
      </c>
      <c r="F60" s="18">
        <v>0.56200000000000006</v>
      </c>
    </row>
    <row r="61" spans="1:6">
      <c r="A61" s="18">
        <v>59</v>
      </c>
      <c r="B61" s="18">
        <v>0.433</v>
      </c>
      <c r="C61" s="18">
        <v>0.41499999999999998</v>
      </c>
      <c r="D61" s="18">
        <v>0.45600000000000002</v>
      </c>
      <c r="E61" s="18">
        <v>0.48799999999999999</v>
      </c>
      <c r="F61" s="18">
        <v>0.56200000000000006</v>
      </c>
    </row>
    <row r="62" spans="1:6">
      <c r="A62" s="18">
        <v>60</v>
      </c>
      <c r="B62" s="18">
        <v>0.432</v>
      </c>
      <c r="C62" s="18">
        <v>0.41299999999999998</v>
      </c>
      <c r="D62" s="18">
        <v>0.45500000000000002</v>
      </c>
      <c r="E62" s="18">
        <v>0.48699999999999999</v>
      </c>
      <c r="F62" s="18">
        <v>0.56200000000000006</v>
      </c>
    </row>
    <row r="63" spans="1:6">
      <c r="A63" s="18">
        <v>61</v>
      </c>
      <c r="B63" s="18">
        <v>0.43099999999999999</v>
      </c>
      <c r="C63" s="18">
        <v>0.41099999999999998</v>
      </c>
      <c r="D63" s="18">
        <v>0.45400000000000001</v>
      </c>
      <c r="E63" s="18">
        <v>0.48599999999999999</v>
      </c>
      <c r="F63" s="18">
        <v>0.56200000000000006</v>
      </c>
    </row>
    <row r="64" spans="1:6">
      <c r="A64" s="18">
        <v>62</v>
      </c>
      <c r="B64" s="18">
        <v>0.42899999999999999</v>
      </c>
      <c r="C64" s="18">
        <v>0.40899999999999997</v>
      </c>
      <c r="D64" s="18">
        <v>0.45300000000000001</v>
      </c>
      <c r="E64" s="18">
        <v>0.48499999999999999</v>
      </c>
      <c r="F64" s="18">
        <v>0.56200000000000006</v>
      </c>
    </row>
    <row r="65" spans="1:6">
      <c r="A65" s="18">
        <v>63</v>
      </c>
      <c r="B65" s="18">
        <v>0.42799999999999999</v>
      </c>
      <c r="C65" s="18">
        <v>0.40699999999999997</v>
      </c>
      <c r="D65" s="18">
        <v>0.45200000000000001</v>
      </c>
      <c r="E65" s="18">
        <v>0.48399999999999999</v>
      </c>
      <c r="F65" s="18">
        <v>0.56200000000000006</v>
      </c>
    </row>
    <row r="66" spans="1:6">
      <c r="A66" s="18">
        <v>64</v>
      </c>
      <c r="B66" s="18">
        <v>0.42699999999999999</v>
      </c>
      <c r="C66" s="18">
        <v>0.40500000000000003</v>
      </c>
      <c r="D66" s="18">
        <v>0.45100000000000001</v>
      </c>
      <c r="E66" s="18">
        <v>0.48299999999999998</v>
      </c>
      <c r="F66" s="18">
        <v>0.56200000000000006</v>
      </c>
    </row>
    <row r="67" spans="1:6">
      <c r="A67" s="18">
        <v>65</v>
      </c>
      <c r="B67" s="18">
        <v>0.42599999999999999</v>
      </c>
      <c r="C67" s="18">
        <v>0.40300000000000002</v>
      </c>
      <c r="D67" s="18">
        <v>0.45</v>
      </c>
      <c r="E67" s="18">
        <v>0.48299999999999998</v>
      </c>
      <c r="F67" s="18">
        <v>0.56200000000000006</v>
      </c>
    </row>
    <row r="68" spans="1:6">
      <c r="A68" s="18">
        <v>66</v>
      </c>
      <c r="B68" s="18">
        <v>0.42599999999999999</v>
      </c>
      <c r="C68" s="18">
        <v>0.40100000000000002</v>
      </c>
      <c r="D68" s="18">
        <v>0.44900000000000001</v>
      </c>
      <c r="E68" s="18">
        <v>0.48199999999999998</v>
      </c>
      <c r="F68" s="18">
        <v>0.56200000000000006</v>
      </c>
    </row>
    <row r="69" spans="1:6">
      <c r="A69" s="18">
        <v>67</v>
      </c>
      <c r="B69" s="18">
        <v>0.42499999999999999</v>
      </c>
      <c r="C69" s="18">
        <v>0.39900000000000002</v>
      </c>
      <c r="D69" s="18">
        <v>0.44800000000000001</v>
      </c>
      <c r="E69" s="18">
        <v>0.48099999999999998</v>
      </c>
      <c r="F69" s="18">
        <v>0.56200000000000006</v>
      </c>
    </row>
    <row r="70" spans="1:6">
      <c r="A70" s="18">
        <v>68</v>
      </c>
      <c r="B70" s="18">
        <v>0.42399999999999999</v>
      </c>
      <c r="C70" s="18">
        <v>0.39800000000000002</v>
      </c>
      <c r="D70" s="18">
        <v>0.44800000000000001</v>
      </c>
      <c r="E70" s="18">
        <v>0.48</v>
      </c>
      <c r="F70" s="18">
        <v>0.56200000000000006</v>
      </c>
    </row>
    <row r="71" spans="1:6">
      <c r="A71" s="18">
        <v>69</v>
      </c>
      <c r="B71" s="18">
        <v>0.42299999999999999</v>
      </c>
      <c r="C71" s="18">
        <v>0.39600000000000002</v>
      </c>
      <c r="D71" s="18">
        <v>0.44700000000000001</v>
      </c>
      <c r="E71" s="18">
        <v>0.48</v>
      </c>
      <c r="F71" s="18">
        <v>0.56200000000000006</v>
      </c>
    </row>
    <row r="72" spans="1:6">
      <c r="A72" s="18">
        <v>70</v>
      </c>
      <c r="B72" s="18">
        <v>0.42199999999999999</v>
      </c>
      <c r="C72" s="18">
        <v>0.39500000000000002</v>
      </c>
      <c r="D72" s="18">
        <v>0.44600000000000001</v>
      </c>
      <c r="E72" s="18">
        <v>0.47899999999999998</v>
      </c>
      <c r="F72" s="18">
        <v>0.56200000000000006</v>
      </c>
    </row>
    <row r="73" spans="1:6">
      <c r="A73" s="18">
        <v>71</v>
      </c>
      <c r="B73" s="18">
        <v>0.42099999999999999</v>
      </c>
      <c r="C73" s="18">
        <v>0.39300000000000002</v>
      </c>
      <c r="D73" s="18">
        <v>0.44500000000000001</v>
      </c>
      <c r="E73" s="18">
        <v>0.47799999999999998</v>
      </c>
      <c r="F73" s="18">
        <v>0.56200000000000006</v>
      </c>
    </row>
    <row r="74" spans="1:6">
      <c r="A74" s="18">
        <v>72</v>
      </c>
      <c r="B74" s="18">
        <v>0.42</v>
      </c>
      <c r="C74" s="18">
        <v>0.39200000000000002</v>
      </c>
      <c r="D74" s="18">
        <v>0.44400000000000001</v>
      </c>
      <c r="E74" s="18">
        <v>0.47699999999999998</v>
      </c>
      <c r="F74" s="18">
        <v>0.56200000000000006</v>
      </c>
    </row>
    <row r="75" spans="1:6">
      <c r="A75" s="18">
        <v>73</v>
      </c>
      <c r="B75" s="18">
        <v>0.42</v>
      </c>
      <c r="C75" s="18">
        <v>0.39</v>
      </c>
      <c r="D75" s="18">
        <v>0.44400000000000001</v>
      </c>
      <c r="E75" s="18">
        <v>0.47699999999999998</v>
      </c>
      <c r="F75" s="18">
        <v>0.56200000000000006</v>
      </c>
    </row>
    <row r="76" spans="1:6">
      <c r="A76" s="18">
        <v>74</v>
      </c>
      <c r="B76" s="18">
        <v>0.41899999999999998</v>
      </c>
      <c r="C76" s="18">
        <v>0.38900000000000001</v>
      </c>
      <c r="D76" s="18">
        <v>0.443</v>
      </c>
      <c r="E76" s="18">
        <v>0.47599999999999998</v>
      </c>
      <c r="F76" s="18">
        <v>0.56200000000000006</v>
      </c>
    </row>
    <row r="77" spans="1:6">
      <c r="A77" s="18">
        <v>75</v>
      </c>
      <c r="B77" s="18">
        <v>0.41799999999999998</v>
      </c>
      <c r="C77" s="18">
        <v>0.38700000000000001</v>
      </c>
      <c r="D77" s="18">
        <v>0.442</v>
      </c>
      <c r="E77" s="18">
        <v>0.47499999999999998</v>
      </c>
      <c r="F77" s="18">
        <v>0.56200000000000006</v>
      </c>
    </row>
    <row r="78" spans="1:6">
      <c r="A78" s="18">
        <v>76</v>
      </c>
      <c r="B78" s="18">
        <v>0.41699999999999998</v>
      </c>
      <c r="C78" s="18">
        <v>0.38600000000000001</v>
      </c>
      <c r="D78" s="18">
        <v>0.441</v>
      </c>
      <c r="E78" s="18">
        <v>0.47499999999999998</v>
      </c>
      <c r="F78" s="18">
        <v>0.56200000000000006</v>
      </c>
    </row>
    <row r="79" spans="1:6">
      <c r="A79" s="18">
        <v>77</v>
      </c>
      <c r="B79" s="18">
        <v>0.41699999999999998</v>
      </c>
      <c r="C79" s="18">
        <v>0.38500000000000001</v>
      </c>
      <c r="D79" s="18">
        <v>0.441</v>
      </c>
      <c r="E79" s="18">
        <v>0.47399999999999998</v>
      </c>
      <c r="F79" s="18">
        <v>0.56200000000000006</v>
      </c>
    </row>
    <row r="80" spans="1:6">
      <c r="A80" s="18">
        <v>78</v>
      </c>
      <c r="B80" s="18">
        <v>0.41599999999999998</v>
      </c>
      <c r="C80" s="18">
        <v>0.38300000000000001</v>
      </c>
      <c r="D80" s="18">
        <v>0.44</v>
      </c>
      <c r="E80" s="18">
        <v>0.47399999999999998</v>
      </c>
      <c r="F80" s="18">
        <v>0.56200000000000006</v>
      </c>
    </row>
    <row r="81" spans="1:6">
      <c r="A81" s="18">
        <v>79</v>
      </c>
      <c r="B81" s="18">
        <v>0.41499999999999998</v>
      </c>
      <c r="C81" s="18">
        <v>0.38200000000000001</v>
      </c>
      <c r="D81" s="18">
        <v>0.439</v>
      </c>
      <c r="E81" s="18">
        <v>0.47299999999999998</v>
      </c>
      <c r="F81" s="18">
        <v>0.56200000000000006</v>
      </c>
    </row>
    <row r="82" spans="1:6">
      <c r="A82" s="18">
        <v>80</v>
      </c>
      <c r="B82" s="18">
        <v>0.41499999999999998</v>
      </c>
      <c r="C82" s="18">
        <v>0.38100000000000001</v>
      </c>
      <c r="D82" s="18">
        <v>0.439</v>
      </c>
      <c r="E82" s="18">
        <v>0.47299999999999998</v>
      </c>
      <c r="F82" s="18">
        <v>0.56200000000000006</v>
      </c>
    </row>
  </sheetData>
  <mergeCells count="1">
    <mergeCell ref="A1:A2"/>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7"/>
  <dimension ref="A1:AB58"/>
  <sheetViews>
    <sheetView showGridLines="0" topLeftCell="A19" zoomScaleNormal="100" zoomScaleSheetLayoutView="106" workbookViewId="0">
      <selection activeCell="K10" sqref="K10:L10"/>
    </sheetView>
  </sheetViews>
  <sheetFormatPr baseColWidth="10" defaultRowHeight="15"/>
  <cols>
    <col min="1" max="1" width="36.5703125" customWidth="1"/>
    <col min="2" max="2" width="34.28515625" customWidth="1"/>
    <col min="4" max="4" width="40.28515625" customWidth="1"/>
    <col min="5" max="5" width="15.7109375" customWidth="1"/>
    <col min="7" max="7" width="15.140625" customWidth="1"/>
    <col min="8" max="8" width="25.5703125" customWidth="1"/>
    <col min="10" max="10" width="18.7109375" customWidth="1"/>
    <col min="11" max="11" width="26" customWidth="1"/>
    <col min="12" max="12" width="22" customWidth="1"/>
    <col min="13" max="13" width="20.140625" customWidth="1"/>
    <col min="28" max="28" width="11.42578125" style="70"/>
  </cols>
  <sheetData>
    <row r="1" spans="1:28" ht="36.75" customHeight="1">
      <c r="G1" s="377" t="s">
        <v>400</v>
      </c>
      <c r="H1" s="377"/>
      <c r="J1" s="364" t="s">
        <v>474</v>
      </c>
      <c r="K1" s="364"/>
      <c r="L1" s="364"/>
    </row>
    <row r="2" spans="1:28" ht="15" customHeight="1">
      <c r="A2" s="367" t="s">
        <v>192</v>
      </c>
      <c r="B2" s="367"/>
      <c r="D2" s="371" t="s">
        <v>294</v>
      </c>
      <c r="E2" s="371"/>
      <c r="G2" s="377"/>
      <c r="H2" s="377"/>
      <c r="J2" s="48" t="s">
        <v>401</v>
      </c>
      <c r="K2" s="60" t="s">
        <v>352</v>
      </c>
      <c r="L2" s="48" t="s">
        <v>402</v>
      </c>
      <c r="X2" s="342" t="s">
        <v>805</v>
      </c>
      <c r="Y2" s="343"/>
      <c r="Z2" s="343"/>
      <c r="AA2" s="343"/>
      <c r="AB2" s="344"/>
    </row>
    <row r="3" spans="1:28" ht="13.5" customHeight="1">
      <c r="A3" s="367"/>
      <c r="B3" s="367"/>
      <c r="D3" s="27" t="s">
        <v>289</v>
      </c>
      <c r="E3" s="10">
        <v>6</v>
      </c>
      <c r="F3" s="32"/>
      <c r="G3" s="47" t="s">
        <v>401</v>
      </c>
      <c r="H3" s="48" t="s">
        <v>402</v>
      </c>
      <c r="J3" s="15" t="s">
        <v>366</v>
      </c>
      <c r="K3" s="5" t="s">
        <v>481</v>
      </c>
      <c r="L3" s="61">
        <f>VLOOKUP(K3,'Rayos Calculo'!A63:E65,2,FALSE)</f>
        <v>1.3427113571137588E-3</v>
      </c>
      <c r="X3" s="380"/>
      <c r="Y3" s="381"/>
      <c r="Z3" s="381"/>
      <c r="AA3" s="381"/>
      <c r="AB3" s="382"/>
    </row>
    <row r="4" spans="1:28">
      <c r="A4" s="16" t="s">
        <v>193</v>
      </c>
      <c r="B4" s="4" t="s">
        <v>194</v>
      </c>
      <c r="D4" s="27" t="s">
        <v>290</v>
      </c>
      <c r="E4" s="10">
        <v>40</v>
      </c>
      <c r="G4" s="5" t="s">
        <v>296</v>
      </c>
      <c r="H4" s="2">
        <f>E11*I15*B15</f>
        <v>5.342721044466959E-11</v>
      </c>
      <c r="I4" s="21"/>
      <c r="J4" s="15" t="s">
        <v>367</v>
      </c>
      <c r="K4" s="5" t="s">
        <v>354</v>
      </c>
      <c r="L4" s="61">
        <f>VLOOKUP(K4,'Rayos Calculo'!A63:E65,3,FALSE)</f>
        <v>1.7269590599942971E-8</v>
      </c>
      <c r="X4" s="109" t="s">
        <v>806</v>
      </c>
      <c r="Y4" s="110"/>
      <c r="Z4" s="110"/>
      <c r="AA4" s="110" t="s">
        <v>807</v>
      </c>
      <c r="AB4" s="175">
        <f>1-(M22/L14)</f>
        <v>-2.9437987539312482E-2</v>
      </c>
    </row>
    <row r="5" spans="1:28">
      <c r="A5" s="16" t="s">
        <v>195</v>
      </c>
      <c r="B5" s="11">
        <f>VLOOKUP(B4,'Rayos Calculo'!A1:E33,5,FALSE)</f>
        <v>60</v>
      </c>
      <c r="D5" s="27" t="s">
        <v>291</v>
      </c>
      <c r="E5" s="10">
        <v>2920</v>
      </c>
      <c r="G5" s="5" t="s">
        <v>394</v>
      </c>
      <c r="H5" s="2">
        <f>E20*I16*B15</f>
        <v>1.0685442088933916E-8</v>
      </c>
      <c r="I5" s="21"/>
      <c r="J5" s="15" t="s">
        <v>368</v>
      </c>
      <c r="K5" s="5" t="s">
        <v>354</v>
      </c>
      <c r="L5" s="61">
        <f>VLOOKUP(K5,'Rayos Calculo'!A63:E65,4,FALSE)</f>
        <v>1.7269590599942971E-8</v>
      </c>
      <c r="X5" s="109" t="s">
        <v>846</v>
      </c>
      <c r="Y5" s="110"/>
      <c r="Z5" s="110"/>
      <c r="AA5" s="110"/>
      <c r="AB5" s="175">
        <v>1</v>
      </c>
    </row>
    <row r="6" spans="1:28">
      <c r="A6" s="16" t="s">
        <v>196</v>
      </c>
      <c r="B6" s="23">
        <f>VLOOKUP(B4,'Rayos Calculo'!A1:E33,4,FALSE)</f>
        <v>1</v>
      </c>
      <c r="D6" s="27" t="s">
        <v>288</v>
      </c>
      <c r="E6" s="10">
        <f>(E3/E4)*(E5/8760)</f>
        <v>4.9999999999999996E-2</v>
      </c>
      <c r="G6" s="5" t="s">
        <v>395</v>
      </c>
      <c r="H6" s="2">
        <f>B15*E37*I17</f>
        <v>5.3427210444669576E-6</v>
      </c>
      <c r="I6" s="21"/>
      <c r="J6" s="15" t="s">
        <v>369</v>
      </c>
      <c r="K6" s="5" t="s">
        <v>354</v>
      </c>
      <c r="L6" s="61">
        <f>VLOOKUP(K6,'Rayos Calculo'!A63:E65,5,FALSE)</f>
        <v>1.7269590599942971E-8</v>
      </c>
      <c r="X6" s="109" t="s">
        <v>808</v>
      </c>
      <c r="Y6" s="110"/>
      <c r="Z6" s="110"/>
      <c r="AA6" s="110"/>
      <c r="AB6" s="175">
        <v>1</v>
      </c>
    </row>
    <row r="7" spans="1:28">
      <c r="G7" s="5" t="s">
        <v>396</v>
      </c>
      <c r="H7" s="2">
        <f>I18*E40*B35</f>
        <v>1.337290395553304E-3</v>
      </c>
      <c r="I7" s="21"/>
      <c r="X7" s="109" t="s">
        <v>829</v>
      </c>
      <c r="Y7" s="110"/>
      <c r="Z7" s="110"/>
      <c r="AA7" s="110"/>
      <c r="AB7" s="175">
        <f>VLOOKUP(AB6,'Rayos Calculo'!A91:E94,2,FALSE)</f>
        <v>20</v>
      </c>
    </row>
    <row r="8" spans="1:28" ht="34.5" customHeight="1">
      <c r="A8" s="367" t="s">
        <v>231</v>
      </c>
      <c r="B8" s="367"/>
      <c r="D8" s="364" t="s">
        <v>298</v>
      </c>
      <c r="E8" s="364"/>
      <c r="F8" s="31"/>
      <c r="G8" s="49" t="s">
        <v>372</v>
      </c>
      <c r="H8" s="2">
        <f>(B49+B26)*E25*I19</f>
        <v>6.5841485110090557E-9</v>
      </c>
      <c r="I8" s="21"/>
      <c r="K8" s="4" t="s">
        <v>479</v>
      </c>
      <c r="L8" s="2">
        <f>SUM(L3:L6)</f>
        <v>1.3427631658855588E-3</v>
      </c>
      <c r="X8" s="176" t="s">
        <v>826</v>
      </c>
      <c r="Y8" s="110"/>
      <c r="Z8" s="110"/>
      <c r="AA8" s="110"/>
      <c r="AB8" s="175">
        <f>VLOOKUP(AB6,'Rayos Calculo'!A91:E94,3,FALSE)</f>
        <v>5</v>
      </c>
    </row>
    <row r="9" spans="1:28" ht="28.5" customHeight="1">
      <c r="A9" s="16" t="s">
        <v>232</v>
      </c>
      <c r="B9" s="2">
        <v>30</v>
      </c>
      <c r="D9" s="27" t="s">
        <v>299</v>
      </c>
      <c r="E9" s="38" t="s">
        <v>308</v>
      </c>
      <c r="G9" s="5" t="s">
        <v>397</v>
      </c>
      <c r="H9" s="2">
        <f>(B49+B26)*I20*E34</f>
        <v>6.5841485110090557E-9</v>
      </c>
      <c r="I9" s="21"/>
      <c r="J9" s="24" t="s">
        <v>478</v>
      </c>
      <c r="K9" s="66" t="s">
        <v>349</v>
      </c>
      <c r="L9" s="2">
        <f>VLOOKUP(K9,'Rayos Calculo'!A54:B56,2,FALSE)</f>
        <v>1.0000000000000001E-5</v>
      </c>
      <c r="X9" s="177" t="s">
        <v>827</v>
      </c>
      <c r="Y9" s="178"/>
      <c r="Z9" s="178"/>
      <c r="AA9" s="178"/>
      <c r="AB9" s="179">
        <f>VLOOKUP(AB6,'Rayos Calculo'!A91:E94,4,FALSE)</f>
        <v>20</v>
      </c>
    </row>
    <row r="10" spans="1:28">
      <c r="A10" s="15" t="s">
        <v>233</v>
      </c>
      <c r="B10" s="2">
        <v>65</v>
      </c>
      <c r="D10" s="27" t="s">
        <v>296</v>
      </c>
      <c r="E10" s="10">
        <f>VLOOKUP(E9,'Rayos Calculo'!J23:L26,3,FALSE)</f>
        <v>1.0000000000000001E-5</v>
      </c>
      <c r="G10" s="5" t="s">
        <v>398</v>
      </c>
      <c r="H10" s="2">
        <f>(B49+B26)*I21*E43</f>
        <v>6.5841485110090553E-6</v>
      </c>
      <c r="I10" s="21"/>
      <c r="J10" s="21"/>
      <c r="K10" s="365" t="str">
        <f>IF(L8&gt;L9,'Rayos Calculo'!E54,'Rayos Calculo'!E55)</f>
        <v>REQUIERE SIPRA</v>
      </c>
      <c r="L10" s="366"/>
      <c r="X10" s="112" t="s">
        <v>828</v>
      </c>
      <c r="Y10" s="113"/>
      <c r="Z10" s="113"/>
      <c r="AA10" s="113"/>
      <c r="AB10" s="169">
        <f>VLOOKUP(AB6,'Rayos Calculo'!A91:E94,5,FALSE)</f>
        <v>10</v>
      </c>
    </row>
    <row r="11" spans="1:28" ht="15" customHeight="1">
      <c r="A11" s="15" t="s">
        <v>234</v>
      </c>
      <c r="B11" s="2">
        <v>18</v>
      </c>
      <c r="D11" s="27" t="s">
        <v>297</v>
      </c>
      <c r="E11" s="10">
        <f>E10*E6</f>
        <v>4.9999999999999998E-7</v>
      </c>
      <c r="G11" s="5" t="s">
        <v>399</v>
      </c>
      <c r="H11" s="2">
        <f>(B56-B49)*I22*E46</f>
        <v>7.1656367477007925E-8</v>
      </c>
      <c r="I11" s="21"/>
      <c r="X11" s="383"/>
      <c r="Y11" s="383"/>
      <c r="Z11" s="383"/>
      <c r="AA11" s="383"/>
      <c r="AB11" s="384"/>
    </row>
    <row r="12" spans="1:28">
      <c r="A12" s="15" t="s">
        <v>235</v>
      </c>
      <c r="B12" s="2">
        <f>((B9*B10)+((6*B11)*(B9+B10))+((9*PI())*(B11*B11)))</f>
        <v>21370.884177867836</v>
      </c>
      <c r="X12" s="383"/>
      <c r="Y12" s="383"/>
      <c r="Z12" s="383"/>
      <c r="AA12" s="383"/>
      <c r="AB12" s="384"/>
    </row>
    <row r="13" spans="1:28" ht="31.5" customHeight="1">
      <c r="A13" s="24" t="s">
        <v>236</v>
      </c>
      <c r="B13" s="25" t="s">
        <v>237</v>
      </c>
      <c r="D13" s="372" t="s">
        <v>317</v>
      </c>
      <c r="E13" s="372"/>
      <c r="G13" s="378" t="s">
        <v>476</v>
      </c>
      <c r="H13" s="378"/>
      <c r="I13" s="378"/>
      <c r="K13" s="337" t="s">
        <v>596</v>
      </c>
      <c r="L13" s="337"/>
    </row>
    <row r="14" spans="1:28" ht="30" customHeight="1">
      <c r="A14" s="15" t="s">
        <v>238</v>
      </c>
      <c r="B14" s="26">
        <f>VLOOKUP(B13,'Rayos Calculo'!J2:K5,2,FALSE)</f>
        <v>0.5</v>
      </c>
      <c r="D14" s="27" t="s">
        <v>318</v>
      </c>
      <c r="E14" s="46" t="s">
        <v>371</v>
      </c>
      <c r="G14" s="64" t="s">
        <v>401</v>
      </c>
      <c r="H14" s="64" t="s">
        <v>477</v>
      </c>
      <c r="I14" s="64" t="s">
        <v>402</v>
      </c>
      <c r="K14" s="181" t="s">
        <v>597</v>
      </c>
      <c r="L14" s="182">
        <f>IF(L8&gt;L9,(B6*B12*B14/1000000), NO REQUIERE)</f>
        <v>1.0685442088933917E-2</v>
      </c>
    </row>
    <row r="15" spans="1:28" ht="30">
      <c r="A15" s="15" t="s">
        <v>239</v>
      </c>
      <c r="B15" s="2">
        <f>B6*B12*B14*(10^-6)</f>
        <v>1.0685442088933917E-2</v>
      </c>
      <c r="D15" s="15" t="s">
        <v>311</v>
      </c>
      <c r="E15" s="10">
        <f>VLOOKUP(E14,'Rayos Calculo'!J49:K51,2,FALSE)</f>
        <v>0.5</v>
      </c>
      <c r="G15" s="62" t="s">
        <v>405</v>
      </c>
      <c r="H15" s="12" t="s">
        <v>408</v>
      </c>
      <c r="I15" s="63">
        <f>VLOOKUP(H15,'Rayos Calculo'!J73:K76,2,FALSE)</f>
        <v>0.01</v>
      </c>
    </row>
    <row r="16" spans="1:28">
      <c r="D16" s="39" t="s">
        <v>319</v>
      </c>
      <c r="E16" s="29" t="s">
        <v>312</v>
      </c>
      <c r="G16" s="58" t="s">
        <v>467</v>
      </c>
      <c r="H16" s="46" t="s">
        <v>423</v>
      </c>
      <c r="I16" s="2">
        <f>VLOOKUP(H16,'Rayos Calculo'!J82:L88,3,FALSE)</f>
        <v>0.02</v>
      </c>
    </row>
    <row r="17" spans="1:14" ht="34.5" customHeight="1">
      <c r="A17" s="367" t="s">
        <v>266</v>
      </c>
      <c r="B17" s="367"/>
      <c r="D17" s="15" t="s">
        <v>313</v>
      </c>
      <c r="E17" s="10">
        <f>VLOOKUP(E16,'Rayos Calculo'!J41:K45,2,FALSE)</f>
        <v>1E-3</v>
      </c>
      <c r="G17" s="58" t="s">
        <v>468</v>
      </c>
      <c r="H17" s="46" t="s">
        <v>424</v>
      </c>
      <c r="I17" s="2">
        <f>VLOOKUP(H17,'Rayos Calculo'!J94:K97,2,FALSE)</f>
        <v>0.01</v>
      </c>
      <c r="K17" s="374" t="s">
        <v>598</v>
      </c>
      <c r="L17" s="375"/>
      <c r="M17" s="375"/>
      <c r="N17" s="376"/>
    </row>
    <row r="18" spans="1:14" ht="29.25" customHeight="1">
      <c r="A18" s="15" t="s">
        <v>259</v>
      </c>
      <c r="B18" s="2">
        <v>25</v>
      </c>
      <c r="D18" s="27" t="s">
        <v>320</v>
      </c>
      <c r="E18" s="46" t="s">
        <v>314</v>
      </c>
      <c r="G18" s="58" t="s">
        <v>435</v>
      </c>
      <c r="H18" s="46" t="s">
        <v>469</v>
      </c>
      <c r="I18" s="2">
        <f>VLOOKUP(H18,'Rayos Calculo'!J104:K112,2,FALSE)</f>
        <v>1</v>
      </c>
      <c r="K18" s="183" t="s">
        <v>611</v>
      </c>
      <c r="L18" s="190" t="s">
        <v>609</v>
      </c>
      <c r="M18" s="190" t="s">
        <v>606</v>
      </c>
      <c r="N18" s="184">
        <f>VLOOKUP(L18,'Rayos Calculo'!A83:D85,MATCH(Rayos!M18,'Rayos Calculo'!B82:D82,0)+1,FALSE)</f>
        <v>1</v>
      </c>
    </row>
    <row r="19" spans="1:14">
      <c r="A19" s="15" t="s">
        <v>260</v>
      </c>
      <c r="B19" s="2">
        <v>40</v>
      </c>
      <c r="D19" s="15" t="s">
        <v>315</v>
      </c>
      <c r="E19" s="10">
        <f>VLOOKUP(E18,'Rayos Calculo'!J31:K37,2,FALSE)</f>
        <v>2</v>
      </c>
      <c r="G19" s="58" t="s">
        <v>470</v>
      </c>
      <c r="H19" s="46" t="s">
        <v>457</v>
      </c>
      <c r="I19" s="2">
        <f>VLOOKUP(H19,'Rayos Calculo'!J117:N121,4,FALSE)</f>
        <v>0.1</v>
      </c>
      <c r="K19" s="185" t="s">
        <v>612</v>
      </c>
      <c r="L19" s="191" t="s">
        <v>600</v>
      </c>
      <c r="M19" s="186">
        <f>VLOOKUP(L19,'Rayos Calculo'!J137:K138,2,FALSE)</f>
        <v>1</v>
      </c>
      <c r="N19" s="179"/>
    </row>
    <row r="20" spans="1:14" ht="32.25" customHeight="1">
      <c r="A20" s="15" t="s">
        <v>261</v>
      </c>
      <c r="B20" s="2">
        <v>15</v>
      </c>
      <c r="D20" s="15" t="s">
        <v>316</v>
      </c>
      <c r="E20" s="10">
        <f>E17*E15*E19*E6</f>
        <v>4.9999999999999996E-5</v>
      </c>
      <c r="G20" s="58" t="s">
        <v>471</v>
      </c>
      <c r="H20" s="46" t="s">
        <v>457</v>
      </c>
      <c r="I20" s="2">
        <f>VLOOKUP(H20,'Rayos Calculo'!J118:N122,4,FALSE)</f>
        <v>0.1</v>
      </c>
      <c r="K20" s="185" t="s">
        <v>613</v>
      </c>
      <c r="L20" s="191" t="s">
        <v>601</v>
      </c>
      <c r="M20" s="186">
        <f>VLOOKUP(L20,'Rayos Calculo'!J142:K144,2,FALSE)</f>
        <v>0.5</v>
      </c>
      <c r="N20" s="179"/>
    </row>
    <row r="21" spans="1:14" ht="45" customHeight="1">
      <c r="A21" s="15" t="s">
        <v>262</v>
      </c>
      <c r="B21" s="2">
        <f>((B19*B18)+((6*B20)*(B18+B19))+((9*PI())*(B20*B20)))</f>
        <v>13211.725123519331</v>
      </c>
      <c r="G21" s="58" t="s">
        <v>472</v>
      </c>
      <c r="H21" s="46" t="s">
        <v>457</v>
      </c>
      <c r="I21" s="2">
        <f>VLOOKUP(H21,'Rayos Calculo'!J119:N123,4,FALSE)</f>
        <v>0.1</v>
      </c>
      <c r="K21" s="185" t="s">
        <v>614</v>
      </c>
      <c r="L21" s="191" t="s">
        <v>603</v>
      </c>
      <c r="M21" s="186">
        <f>VLOOKUP(L21,'Rayos Calculo'!J148:K149,2,FALSE)</f>
        <v>1</v>
      </c>
      <c r="N21" s="179"/>
    </row>
    <row r="22" spans="1:14" ht="40.5" customHeight="1">
      <c r="A22" s="24" t="s">
        <v>265</v>
      </c>
      <c r="B22" s="25" t="s">
        <v>237</v>
      </c>
      <c r="D22" s="370" t="s">
        <v>381</v>
      </c>
      <c r="E22" s="370"/>
      <c r="G22" s="58" t="s">
        <v>473</v>
      </c>
      <c r="H22" s="46" t="s">
        <v>457</v>
      </c>
      <c r="I22" s="2">
        <v>0.03</v>
      </c>
      <c r="K22" s="187" t="s">
        <v>615</v>
      </c>
      <c r="L22" s="188"/>
      <c r="M22" s="188">
        <f>(5.5*(10^-3))/(N18*M19*M20*M21)</f>
        <v>1.0999999999999999E-2</v>
      </c>
      <c r="N22" s="189"/>
    </row>
    <row r="23" spans="1:14" ht="27" customHeight="1">
      <c r="A23" s="15" t="s">
        <v>238</v>
      </c>
      <c r="B23" s="2">
        <f>VLOOKUP(B22,'Rayos Calculo'!J2:K5,2,FALSE)</f>
        <v>0.5</v>
      </c>
      <c r="D23" s="27" t="s">
        <v>299</v>
      </c>
      <c r="E23" s="46" t="s">
        <v>304</v>
      </c>
      <c r="N23" s="22"/>
    </row>
    <row r="24" spans="1:14" ht="44.25" customHeight="1">
      <c r="A24" s="24" t="s">
        <v>245</v>
      </c>
      <c r="B24" s="25" t="s">
        <v>247</v>
      </c>
      <c r="D24" s="24" t="s">
        <v>372</v>
      </c>
      <c r="E24" s="2">
        <f>VLOOKUP(E23,'Rayos Calculo'!J23:L26,3,FALSE)</f>
        <v>1E-3</v>
      </c>
      <c r="K24" s="370" t="s">
        <v>804</v>
      </c>
      <c r="L24" s="370"/>
      <c r="M24" s="71"/>
      <c r="N24" s="22"/>
    </row>
    <row r="25" spans="1:14">
      <c r="A25" s="15" t="s">
        <v>263</v>
      </c>
      <c r="B25" s="2">
        <f>VLOOKUP(B24,'Rayos Calculo'!J8:K10,2,FALSE)</f>
        <v>0.2</v>
      </c>
      <c r="D25" s="15" t="s">
        <v>373</v>
      </c>
      <c r="E25" s="2">
        <f>E24*E6</f>
        <v>4.9999999999999996E-5</v>
      </c>
      <c r="K25" s="192" t="s">
        <v>616</v>
      </c>
      <c r="L25" s="77">
        <f>L14-M22</f>
        <v>-3.1455791106608198E-4</v>
      </c>
      <c r="M25" s="22"/>
    </row>
    <row r="26" spans="1:14">
      <c r="A26" s="15" t="s">
        <v>264</v>
      </c>
      <c r="B26" s="2">
        <f>B6*B21*B25*B23*(10^-6)</f>
        <v>1.321172512351933E-3</v>
      </c>
      <c r="K26" s="373" t="str">
        <f>IF(L25&gt;0,"REQUIERE SISTEMA DE PROTECCIÓN","NO REQUIERE SISTEMA PROTECCIÓN")</f>
        <v>NO REQUIERE SISTEMA PROTECCIÓN</v>
      </c>
      <c r="L26" s="373"/>
      <c r="M26" s="180" t="s">
        <v>781</v>
      </c>
    </row>
    <row r="27" spans="1:14" ht="15.75" customHeight="1">
      <c r="D27" s="368" t="s">
        <v>392</v>
      </c>
      <c r="E27" s="369"/>
    </row>
    <row r="28" spans="1:14" ht="25.5" customHeight="1">
      <c r="A28" s="367" t="s">
        <v>270</v>
      </c>
      <c r="B28" s="367"/>
      <c r="D28" s="27" t="s">
        <v>318</v>
      </c>
      <c r="E28" s="46" t="s">
        <v>371</v>
      </c>
    </row>
    <row r="29" spans="1:14">
      <c r="A29" s="15" t="s">
        <v>232</v>
      </c>
      <c r="B29" s="10">
        <f>250+(B9/2)</f>
        <v>265</v>
      </c>
      <c r="D29" s="16" t="s">
        <v>311</v>
      </c>
      <c r="E29" s="2">
        <f>VLOOKUP(E28,'Rayos Calculo'!J49:K51,2,FALSE)</f>
        <v>0.5</v>
      </c>
      <c r="K29" s="379"/>
      <c r="L29" s="379"/>
      <c r="M29" s="379"/>
    </row>
    <row r="30" spans="1:14">
      <c r="A30" s="15" t="s">
        <v>233</v>
      </c>
      <c r="B30" s="10">
        <f>250+(B10/2)</f>
        <v>282.5</v>
      </c>
      <c r="D30" s="27" t="s">
        <v>319</v>
      </c>
      <c r="E30" s="4" t="s">
        <v>312</v>
      </c>
      <c r="K30" s="379"/>
      <c r="L30" s="379"/>
      <c r="M30" s="379"/>
    </row>
    <row r="31" spans="1:14">
      <c r="A31" s="15" t="s">
        <v>267</v>
      </c>
      <c r="B31" s="10">
        <f>B29*B30</f>
        <v>74862.5</v>
      </c>
      <c r="D31" s="16" t="s">
        <v>313</v>
      </c>
      <c r="E31" s="2">
        <f>VLOOKUP(E30,'Rayos Calculo'!J41:K45,2,FALSE)</f>
        <v>1E-3</v>
      </c>
    </row>
    <row r="32" spans="1:14" ht="26.25" customHeight="1">
      <c r="A32" s="15" t="s">
        <v>268</v>
      </c>
      <c r="B32" s="10">
        <f>B31-B12</f>
        <v>53491.615822132168</v>
      </c>
      <c r="D32" s="27" t="s">
        <v>320</v>
      </c>
      <c r="E32" s="46" t="s">
        <v>314</v>
      </c>
    </row>
    <row r="33" spans="1:5" ht="32.25" customHeight="1">
      <c r="A33" s="24" t="s">
        <v>236</v>
      </c>
      <c r="B33" s="25" t="s">
        <v>237</v>
      </c>
      <c r="D33" s="16" t="s">
        <v>315</v>
      </c>
      <c r="E33" s="2">
        <f>VLOOKUP(E32,'Rayos Calculo'!J31:K37,2,FALSE)</f>
        <v>2</v>
      </c>
    </row>
    <row r="34" spans="1:5">
      <c r="A34" s="15" t="s">
        <v>238</v>
      </c>
      <c r="B34" s="10">
        <f>VLOOKUP(B33,'Rayos Calculo'!J2:K5,2,FALSE)</f>
        <v>0.5</v>
      </c>
      <c r="D34" s="16" t="s">
        <v>374</v>
      </c>
      <c r="E34" s="2">
        <f>E33*E31*E29*E6</f>
        <v>4.9999999999999996E-5</v>
      </c>
    </row>
    <row r="35" spans="1:5">
      <c r="A35" s="15" t="s">
        <v>269</v>
      </c>
      <c r="B35" s="10">
        <f>B6*(B32*B34)*(10^-6)</f>
        <v>2.6745807911066084E-2</v>
      </c>
    </row>
    <row r="36" spans="1:5">
      <c r="D36" s="331" t="s">
        <v>382</v>
      </c>
      <c r="E36" s="331"/>
    </row>
    <row r="37" spans="1:5">
      <c r="A37" s="371" t="s">
        <v>292</v>
      </c>
      <c r="B37" s="371"/>
      <c r="D37" s="15" t="s">
        <v>375</v>
      </c>
      <c r="E37" s="10">
        <f>E6</f>
        <v>4.9999999999999996E-2</v>
      </c>
    </row>
    <row r="38" spans="1:5">
      <c r="A38" s="27" t="s">
        <v>272</v>
      </c>
      <c r="B38" s="2">
        <v>20</v>
      </c>
    </row>
    <row r="39" spans="1:5">
      <c r="A39" s="27" t="s">
        <v>273</v>
      </c>
      <c r="B39" s="2">
        <v>10</v>
      </c>
      <c r="D39" s="367" t="s">
        <v>383</v>
      </c>
      <c r="E39" s="367"/>
    </row>
    <row r="40" spans="1:5">
      <c r="A40" s="27" t="s">
        <v>274</v>
      </c>
      <c r="B40" s="2">
        <v>0</v>
      </c>
      <c r="D40" s="15" t="s">
        <v>376</v>
      </c>
      <c r="E40" s="10">
        <f>E6</f>
        <v>4.9999999999999996E-2</v>
      </c>
    </row>
    <row r="41" spans="1:5">
      <c r="A41" s="27" t="s">
        <v>275</v>
      </c>
      <c r="B41" s="2">
        <v>0</v>
      </c>
    </row>
    <row r="42" spans="1:5" ht="14.25" customHeight="1">
      <c r="A42" s="27" t="s">
        <v>276</v>
      </c>
      <c r="B42" s="2">
        <v>18.86</v>
      </c>
      <c r="D42" s="371" t="s">
        <v>384</v>
      </c>
      <c r="E42" s="371"/>
    </row>
    <row r="43" spans="1:5">
      <c r="A43" s="27" t="s">
        <v>277</v>
      </c>
      <c r="B43" s="29" t="s">
        <v>252</v>
      </c>
      <c r="D43" s="15" t="s">
        <v>377</v>
      </c>
      <c r="E43" s="10">
        <f>E6</f>
        <v>4.9999999999999996E-2</v>
      </c>
    </row>
    <row r="44" spans="1:5">
      <c r="A44" s="27" t="s">
        <v>278</v>
      </c>
      <c r="B44" s="10">
        <f>VLOOKUP(B43,'Rayos Calculo'!J13:K14,2,FALSE)</f>
        <v>-43.428101501216929</v>
      </c>
    </row>
    <row r="45" spans="1:5" ht="33" customHeight="1">
      <c r="A45" s="27" t="s">
        <v>279</v>
      </c>
      <c r="B45" s="28" t="s">
        <v>237</v>
      </c>
      <c r="D45" s="367" t="s">
        <v>385</v>
      </c>
      <c r="E45" s="367"/>
    </row>
    <row r="46" spans="1:5">
      <c r="A46" s="27" t="s">
        <v>241</v>
      </c>
      <c r="B46" s="2">
        <f>VLOOKUP(B45,'Rayos Calculo'!J2:K5,2,FALSE)</f>
        <v>0.5</v>
      </c>
      <c r="D46" s="15" t="s">
        <v>378</v>
      </c>
      <c r="E46" s="10">
        <f>E6</f>
        <v>4.9999999999999996E-2</v>
      </c>
    </row>
    <row r="47" spans="1:5" ht="44.25" customHeight="1">
      <c r="A47" s="27" t="s">
        <v>280</v>
      </c>
      <c r="B47" s="28" t="s">
        <v>247</v>
      </c>
    </row>
    <row r="48" spans="1:5" ht="30" customHeight="1">
      <c r="A48" s="27" t="s">
        <v>246</v>
      </c>
      <c r="B48" s="2">
        <f>VLOOKUP(B47,'Rayos Calculo'!J8:K10,2,FALSE)</f>
        <v>0.2</v>
      </c>
      <c r="D48" s="367" t="s">
        <v>386</v>
      </c>
      <c r="E48" s="367"/>
    </row>
    <row r="49" spans="1:5">
      <c r="A49" s="27" t="s">
        <v>271</v>
      </c>
      <c r="B49" s="2">
        <f>B6*B44*B46*B48*(10^-6)</f>
        <v>-4.3428101501216923E-6</v>
      </c>
      <c r="D49" s="27" t="s">
        <v>391</v>
      </c>
      <c r="E49" s="4" t="s">
        <v>345</v>
      </c>
    </row>
    <row r="50" spans="1:5">
      <c r="D50" s="15" t="s">
        <v>379</v>
      </c>
      <c r="E50" s="10">
        <f>VLOOKUP(E49,'Rayos Calculo'!J55:L57,2,FALSE)</f>
        <v>0</v>
      </c>
    </row>
    <row r="51" spans="1:5">
      <c r="A51" s="367" t="s">
        <v>293</v>
      </c>
      <c r="B51" s="367"/>
    </row>
    <row r="52" spans="1:5">
      <c r="A52" s="15" t="s">
        <v>285</v>
      </c>
      <c r="B52" s="10">
        <f>VLOOKUP(B43,'Rayos Calculo'!J13:L14,3,FALSE)</f>
        <v>2171.4050750608467</v>
      </c>
      <c r="D52" s="368" t="s">
        <v>387</v>
      </c>
      <c r="E52" s="369"/>
    </row>
    <row r="53" spans="1:5" ht="35.25" customHeight="1">
      <c r="A53" s="16" t="s">
        <v>287</v>
      </c>
      <c r="B53" s="28" t="s">
        <v>256</v>
      </c>
      <c r="D53" s="27" t="s">
        <v>390</v>
      </c>
      <c r="E53" s="29" t="s">
        <v>345</v>
      </c>
    </row>
    <row r="54" spans="1:5">
      <c r="A54" s="15" t="s">
        <v>254</v>
      </c>
      <c r="B54" s="10">
        <f>VLOOKUP(B53,'Rayos Calculo'!J17:K20,2,FALSE)</f>
        <v>0.1</v>
      </c>
      <c r="D54" s="15" t="s">
        <v>341</v>
      </c>
      <c r="E54" s="10">
        <f>VLOOKUP(E53,'Rayos Calculo'!J57:K58,2,FALSE)</f>
        <v>0</v>
      </c>
    </row>
    <row r="55" spans="1:5">
      <c r="A55" s="15" t="s">
        <v>246</v>
      </c>
      <c r="B55" s="2">
        <f>B48</f>
        <v>0.2</v>
      </c>
    </row>
    <row r="56" spans="1:5">
      <c r="A56" s="15" t="s">
        <v>286</v>
      </c>
      <c r="B56" s="10">
        <f>B6*B52*B54*B55*(10^-6)</f>
        <v>4.3428101501216935E-5</v>
      </c>
      <c r="D56" s="377" t="s">
        <v>388</v>
      </c>
      <c r="E56" s="377"/>
    </row>
    <row r="57" spans="1:5" ht="15" customHeight="1">
      <c r="D57" s="27" t="s">
        <v>389</v>
      </c>
      <c r="E57" s="29" t="s">
        <v>393</v>
      </c>
    </row>
    <row r="58" spans="1:5">
      <c r="D58" s="15" t="s">
        <v>380</v>
      </c>
      <c r="E58" s="10">
        <f>VLOOKUP(E57,'Rayos Calculo'!J57:K58,2,FALSE)</f>
        <v>1</v>
      </c>
    </row>
  </sheetData>
  <mergeCells count="30">
    <mergeCell ref="X2:AB3"/>
    <mergeCell ref="X11:AA12"/>
    <mergeCell ref="AB11:AB12"/>
    <mergeCell ref="A2:B3"/>
    <mergeCell ref="A8:B8"/>
    <mergeCell ref="A37:B37"/>
    <mergeCell ref="K24:L24"/>
    <mergeCell ref="A51:B51"/>
    <mergeCell ref="A28:B28"/>
    <mergeCell ref="A17:B17"/>
    <mergeCell ref="K29:M30"/>
    <mergeCell ref="D56:E56"/>
    <mergeCell ref="D48:E48"/>
    <mergeCell ref="D52:E52"/>
    <mergeCell ref="G1:H2"/>
    <mergeCell ref="G13:I13"/>
    <mergeCell ref="D2:E2"/>
    <mergeCell ref="J1:L1"/>
    <mergeCell ref="K10:L10"/>
    <mergeCell ref="D45:E45"/>
    <mergeCell ref="D27:E27"/>
    <mergeCell ref="D22:E22"/>
    <mergeCell ref="D36:E36"/>
    <mergeCell ref="D39:E39"/>
    <mergeCell ref="D42:E42"/>
    <mergeCell ref="D13:E13"/>
    <mergeCell ref="D8:E8"/>
    <mergeCell ref="K26:L26"/>
    <mergeCell ref="K13:L13"/>
    <mergeCell ref="K17:N17"/>
  </mergeCells>
  <hyperlinks>
    <hyperlink ref="M26" location="Rayos!AB6" display="CALCULAR" xr:uid="{00000000-0004-0000-0D00-000000000000}"/>
  </hyperlinks>
  <pageMargins left="0.7" right="0.7" top="0.75" bottom="0.75" header="0.3" footer="0.3"/>
  <pageSetup orientation="portrait" r:id="rId1"/>
  <drawing r:id="rId2"/>
  <extLst>
    <ext xmlns:x14="http://schemas.microsoft.com/office/spreadsheetml/2009/9/main" uri="{CCE6A557-97BC-4b89-ADB6-D9C93CAAB3DF}">
      <x14:dataValidations xmlns:xm="http://schemas.microsoft.com/office/excel/2006/main" count="23">
        <x14:dataValidation type="list" allowBlank="1" showInputMessage="1" showErrorMessage="1" xr:uid="{00000000-0002-0000-0D00-000000000000}">
          <x14:formula1>
            <xm:f>'Rayos Calculo'!$A$2:$A$33</xm:f>
          </x14:formula1>
          <xm:sqref>B4</xm:sqref>
        </x14:dataValidation>
        <x14:dataValidation type="list" allowBlank="1" showInputMessage="1" showErrorMessage="1" xr:uid="{00000000-0002-0000-0D00-000001000000}">
          <x14:formula1>
            <xm:f>'Rayos Calculo'!$J$2:$J$5</xm:f>
          </x14:formula1>
          <xm:sqref>B13 B22 B33 B45</xm:sqref>
        </x14:dataValidation>
        <x14:dataValidation type="list" allowBlank="1" showInputMessage="1" showErrorMessage="1" xr:uid="{00000000-0002-0000-0D00-000002000000}">
          <x14:formula1>
            <xm:f>'Rayos Calculo'!$J$8:$J$10</xm:f>
          </x14:formula1>
          <xm:sqref>B24 B47</xm:sqref>
        </x14:dataValidation>
        <x14:dataValidation type="list" allowBlank="1" showInputMessage="1" showErrorMessage="1" xr:uid="{00000000-0002-0000-0D00-000003000000}">
          <x14:formula1>
            <xm:f>'Rayos Calculo'!$J$13:$J$14</xm:f>
          </x14:formula1>
          <xm:sqref>B43</xm:sqref>
        </x14:dataValidation>
        <x14:dataValidation type="list" allowBlank="1" showInputMessage="1" showErrorMessage="1" xr:uid="{00000000-0002-0000-0D00-000004000000}">
          <x14:formula1>
            <xm:f>'Rayos Calculo'!$J$17:$J$20</xm:f>
          </x14:formula1>
          <xm:sqref>B53</xm:sqref>
        </x14:dataValidation>
        <x14:dataValidation type="list" allowBlank="1" showInputMessage="1" showErrorMessage="1" xr:uid="{00000000-0002-0000-0D00-000005000000}">
          <x14:formula1>
            <xm:f>'Rayos Calculo'!$J$23:$J$26</xm:f>
          </x14:formula1>
          <xm:sqref>E9 E23</xm:sqref>
        </x14:dataValidation>
        <x14:dataValidation type="list" allowBlank="1" showInputMessage="1" showErrorMessage="1" xr:uid="{00000000-0002-0000-0D00-000006000000}">
          <x14:formula1>
            <xm:f>'Rayos Calculo'!$J$49:$J$51</xm:f>
          </x14:formula1>
          <xm:sqref>E14 E28</xm:sqref>
        </x14:dataValidation>
        <x14:dataValidation type="list" allowBlank="1" showInputMessage="1" showErrorMessage="1" xr:uid="{00000000-0002-0000-0D00-000007000000}">
          <x14:formula1>
            <xm:f>'Rayos Calculo'!$J$41:$J$45</xm:f>
          </x14:formula1>
          <xm:sqref>E16 E30</xm:sqref>
        </x14:dataValidation>
        <x14:dataValidation type="list" allowBlank="1" showInputMessage="1" showErrorMessage="1" xr:uid="{00000000-0002-0000-0D00-000008000000}">
          <x14:formula1>
            <xm:f>'Rayos Calculo'!$J$31:$J$37</xm:f>
          </x14:formula1>
          <xm:sqref>E18 E32</xm:sqref>
        </x14:dataValidation>
        <x14:dataValidation type="list" allowBlank="1" showInputMessage="1" showErrorMessage="1" xr:uid="{00000000-0002-0000-0D00-000009000000}">
          <x14:formula1>
            <xm:f>'Rayos Calculo'!$J$55:$J$57</xm:f>
          </x14:formula1>
          <xm:sqref>E49</xm:sqref>
        </x14:dataValidation>
        <x14:dataValidation type="list" allowBlank="1" showInputMessage="1" showErrorMessage="1" xr:uid="{00000000-0002-0000-0D00-00000A000000}">
          <x14:formula1>
            <xm:f>'Rayos Calculo'!$J$57:$J$58</xm:f>
          </x14:formula1>
          <xm:sqref>E53 E57</xm:sqref>
        </x14:dataValidation>
        <x14:dataValidation type="list" allowBlank="1" showInputMessage="1" showErrorMessage="1" xr:uid="{00000000-0002-0000-0D00-00000B000000}">
          <x14:formula1>
            <xm:f>'Rayos Calculo'!$J$73:$J$76</xm:f>
          </x14:formula1>
          <xm:sqref>H15</xm:sqref>
        </x14:dataValidation>
        <x14:dataValidation type="list" allowBlank="1" showInputMessage="1" showErrorMessage="1" xr:uid="{00000000-0002-0000-0D00-00000C000000}">
          <x14:formula1>
            <xm:f>'Rayos Calculo'!$J$82:$J$88</xm:f>
          </x14:formula1>
          <xm:sqref>H16</xm:sqref>
        </x14:dataValidation>
        <x14:dataValidation type="list" allowBlank="1" showInputMessage="1" showErrorMessage="1" xr:uid="{00000000-0002-0000-0D00-00000D000000}">
          <x14:formula1>
            <xm:f>'Rayos Calculo'!$J$94:$J$97</xm:f>
          </x14:formula1>
          <xm:sqref>H17</xm:sqref>
        </x14:dataValidation>
        <x14:dataValidation type="list" allowBlank="1" showInputMessage="1" showErrorMessage="1" xr:uid="{00000000-0002-0000-0D00-00000E000000}">
          <x14:formula1>
            <xm:f>'Rayos Calculo'!$J$104:$J$112</xm:f>
          </x14:formula1>
          <xm:sqref>H18</xm:sqref>
        </x14:dataValidation>
        <x14:dataValidation type="list" allowBlank="1" showInputMessage="1" showErrorMessage="1" xr:uid="{00000000-0002-0000-0D00-00000F000000}">
          <x14:formula1>
            <xm:f>'Rayos Calculo'!$J$117:$J$121</xm:f>
          </x14:formula1>
          <xm:sqref>H19:H22</xm:sqref>
        </x14:dataValidation>
        <x14:dataValidation type="list" allowBlank="1" showInputMessage="1" showErrorMessage="1" xr:uid="{00000000-0002-0000-0D00-000010000000}">
          <x14:formula1>
            <xm:f>'Rayos Calculo'!$A$63:$A$65</xm:f>
          </x14:formula1>
          <xm:sqref>K3:K6</xm:sqref>
        </x14:dataValidation>
        <x14:dataValidation type="list" allowBlank="1" showInputMessage="1" showErrorMessage="1" xr:uid="{00000000-0002-0000-0D00-000011000000}">
          <x14:formula1>
            <xm:f>'Rayos Calculo'!$A$54:$A$56</xm:f>
          </x14:formula1>
          <xm:sqref>K9</xm:sqref>
        </x14:dataValidation>
        <x14:dataValidation type="list" allowBlank="1" showInputMessage="1" showErrorMessage="1" xr:uid="{00000000-0002-0000-0D00-000012000000}">
          <x14:formula1>
            <xm:f>'Rayos Calculo'!$A$83:$A$85</xm:f>
          </x14:formula1>
          <xm:sqref>L18</xm:sqref>
        </x14:dataValidation>
        <x14:dataValidation type="list" allowBlank="1" showInputMessage="1" showErrorMessage="1" xr:uid="{00000000-0002-0000-0D00-000013000000}">
          <x14:formula1>
            <xm:f>'Rayos Calculo'!$B$82:$D$82</xm:f>
          </x14:formula1>
          <xm:sqref>M18</xm:sqref>
        </x14:dataValidation>
        <x14:dataValidation type="list" allowBlank="1" showInputMessage="1" showErrorMessage="1" xr:uid="{00000000-0002-0000-0D00-000014000000}">
          <x14:formula1>
            <xm:f>'Rayos Calculo'!$J$137:$J$138</xm:f>
          </x14:formula1>
          <xm:sqref>L19</xm:sqref>
        </x14:dataValidation>
        <x14:dataValidation type="list" allowBlank="1" showInputMessage="1" showErrorMessage="1" xr:uid="{00000000-0002-0000-0D00-000015000000}">
          <x14:formula1>
            <xm:f>'Rayos Calculo'!$J$142:$J$144</xm:f>
          </x14:formula1>
          <xm:sqref>L20</xm:sqref>
        </x14:dataValidation>
        <x14:dataValidation type="list" allowBlank="1" showInputMessage="1" showErrorMessage="1" xr:uid="{00000000-0002-0000-0D00-000016000000}">
          <x14:formula1>
            <xm:f>'Rayos Calculo'!$J$148:$J$149</xm:f>
          </x14:formula1>
          <xm:sqref>L21</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8"/>
  <dimension ref="A2:I59"/>
  <sheetViews>
    <sheetView topLeftCell="B1" zoomScaleNormal="100" workbookViewId="0">
      <selection activeCell="G3" sqref="G3"/>
    </sheetView>
  </sheetViews>
  <sheetFormatPr baseColWidth="10" defaultRowHeight="15"/>
  <cols>
    <col min="1" max="1" width="22.42578125" customWidth="1"/>
    <col min="2" max="2" width="29.140625" customWidth="1"/>
    <col min="3" max="3" width="27.5703125" customWidth="1"/>
    <col min="4" max="4" width="16.42578125" customWidth="1"/>
    <col min="5" max="5" width="17" customWidth="1"/>
    <col min="6" max="6" width="19" customWidth="1"/>
    <col min="7" max="7" width="18" customWidth="1"/>
    <col min="8" max="8" width="16.42578125" customWidth="1"/>
    <col min="9" max="9" width="75.85546875" customWidth="1"/>
  </cols>
  <sheetData>
    <row r="2" spans="1:9" ht="15" customHeight="1">
      <c r="A2" s="87" t="s">
        <v>595</v>
      </c>
      <c r="B2" s="20" t="s">
        <v>542</v>
      </c>
      <c r="C2" s="30" t="s">
        <v>543</v>
      </c>
      <c r="D2" s="30" t="s">
        <v>553</v>
      </c>
      <c r="E2" s="30" t="s">
        <v>544</v>
      </c>
      <c r="F2" s="30" t="s">
        <v>544</v>
      </c>
      <c r="G2" s="30" t="s">
        <v>545</v>
      </c>
      <c r="H2" s="30" t="s">
        <v>546</v>
      </c>
      <c r="I2" s="77" t="s">
        <v>589</v>
      </c>
    </row>
    <row r="3" spans="1:9" ht="78" customHeight="1">
      <c r="A3" s="46" t="s">
        <v>594</v>
      </c>
      <c r="B3" s="4" t="s">
        <v>843</v>
      </c>
      <c r="C3" s="46" t="s">
        <v>565</v>
      </c>
      <c r="D3" s="2">
        <f>13800</f>
        <v>13800</v>
      </c>
      <c r="E3" s="67" t="s">
        <v>516</v>
      </c>
      <c r="F3" s="46" t="s">
        <v>550</v>
      </c>
      <c r="G3" s="46" t="s">
        <v>540</v>
      </c>
      <c r="H3" s="67" t="str">
        <f>VLOOKUP(F3,Riesgos!B3:K7,MATCH(G3,Riesgos!G2:K2,0)+5,FALSE)</f>
        <v>Medio</v>
      </c>
      <c r="I3" s="85" t="str">
        <f>VLOOKUP(H3,Riesgos!S2:U6,2,FALSE)</f>
        <v>Aceptarlo. Aplicar los sistemas de control (minimizar, aislar, suministrar EPP, procedimientos, protocolos, lista de verificación, usar EPP). Requiere permiso de trabajo.</v>
      </c>
    </row>
    <row r="4" spans="1:9" ht="81" customHeight="1">
      <c r="A4" s="46" t="s">
        <v>594</v>
      </c>
      <c r="B4" s="4" t="s">
        <v>843</v>
      </c>
      <c r="C4" s="46" t="s">
        <v>565</v>
      </c>
      <c r="D4" s="2">
        <f>13800</f>
        <v>13800</v>
      </c>
      <c r="E4" s="67" t="s">
        <v>515</v>
      </c>
      <c r="F4" s="46" t="s">
        <v>524</v>
      </c>
      <c r="G4" s="46" t="s">
        <v>536</v>
      </c>
      <c r="H4" s="67" t="str">
        <f>VLOOKUP(F4,Riesgos!C3:K7,MATCH('Factores de Riesgo'!G4,Riesgos!G2:K2,0)+4,FALSE)</f>
        <v>Muy Bajo</v>
      </c>
      <c r="I4" s="85" t="str">
        <f>VLOOKUP(H4,Riesgos!S2:U6,2,FALSE)</f>
        <v>Vigilar posibles cambios</v>
      </c>
    </row>
    <row r="5" spans="1:9" ht="81" customHeight="1">
      <c r="A5" s="46" t="s">
        <v>594</v>
      </c>
      <c r="B5" s="4" t="s">
        <v>843</v>
      </c>
      <c r="C5" s="46" t="s">
        <v>565</v>
      </c>
      <c r="D5" s="2">
        <f>13800</f>
        <v>13800</v>
      </c>
      <c r="E5" s="67" t="s">
        <v>517</v>
      </c>
      <c r="F5" s="46" t="s">
        <v>529</v>
      </c>
      <c r="G5" s="46" t="s">
        <v>536</v>
      </c>
      <c r="H5" s="67" t="str">
        <f>VLOOKUP(F5,Riesgos!D3:K7,MATCH('Factores de Riesgo'!G5,Riesgos!G2:K2,0)+3,FALSE)</f>
        <v>Muy Bajo</v>
      </c>
      <c r="I5" s="85" t="str">
        <f>VLOOKUP(H5,Riesgos!S2:U6,2,FALSE)</f>
        <v>Vigilar posibles cambios</v>
      </c>
    </row>
    <row r="6" spans="1:9" ht="78" customHeight="1">
      <c r="A6" s="46" t="s">
        <v>594</v>
      </c>
      <c r="B6" s="4" t="s">
        <v>843</v>
      </c>
      <c r="C6" s="46" t="s">
        <v>565</v>
      </c>
      <c r="D6" s="2">
        <f>13800</f>
        <v>13800</v>
      </c>
      <c r="E6" s="67" t="s">
        <v>518</v>
      </c>
      <c r="F6" s="46" t="s">
        <v>534</v>
      </c>
      <c r="G6" s="46" t="s">
        <v>536</v>
      </c>
      <c r="H6" s="67" t="str">
        <f>VLOOKUP(F6,Riesgos!E3:K7,MATCH('Factores de Riesgo'!G6,Riesgos!G2:K2,0)+2,FALSE)</f>
        <v>Muy Bajo</v>
      </c>
      <c r="I6" s="85" t="str">
        <f>VLOOKUP(H6,Riesgos!S2:U6,2,FALSE)</f>
        <v>Vigilar posibles cambios</v>
      </c>
    </row>
    <row r="7" spans="1:9">
      <c r="A7" s="93"/>
      <c r="B7" s="88"/>
      <c r="C7" s="88"/>
      <c r="D7" s="88"/>
      <c r="E7" s="88"/>
      <c r="F7" s="88"/>
      <c r="G7" s="88"/>
      <c r="H7" s="88"/>
      <c r="I7" s="96"/>
    </row>
    <row r="8" spans="1:9">
      <c r="A8" s="94" t="s">
        <v>590</v>
      </c>
      <c r="B8" s="89"/>
      <c r="C8" s="88"/>
      <c r="D8" s="92" t="s">
        <v>591</v>
      </c>
      <c r="E8" s="89"/>
      <c r="G8" s="91" t="s">
        <v>592</v>
      </c>
      <c r="H8" s="56"/>
      <c r="I8" s="97"/>
    </row>
    <row r="9" spans="1:9">
      <c r="A9" s="95"/>
      <c r="B9" s="88"/>
      <c r="C9" s="88"/>
      <c r="D9" s="88"/>
      <c r="E9" s="88"/>
      <c r="F9" s="88"/>
      <c r="G9" s="88"/>
      <c r="H9" s="88"/>
      <c r="I9" s="98"/>
    </row>
    <row r="10" spans="1:9">
      <c r="A10" s="90"/>
      <c r="B10" s="90"/>
      <c r="C10" s="90"/>
      <c r="D10" s="90"/>
      <c r="E10" s="90"/>
      <c r="F10" s="90"/>
      <c r="G10" s="90"/>
      <c r="H10" s="90"/>
      <c r="I10" s="90"/>
    </row>
    <row r="12" spans="1:9">
      <c r="A12" s="87" t="s">
        <v>595</v>
      </c>
      <c r="B12" s="20" t="s">
        <v>542</v>
      </c>
      <c r="C12" s="30" t="s">
        <v>543</v>
      </c>
      <c r="D12" s="30" t="s">
        <v>553</v>
      </c>
      <c r="E12" s="30" t="s">
        <v>544</v>
      </c>
      <c r="F12" s="30" t="s">
        <v>544</v>
      </c>
      <c r="G12" s="30" t="s">
        <v>545</v>
      </c>
      <c r="H12" s="30" t="s">
        <v>546</v>
      </c>
      <c r="I12" s="77" t="s">
        <v>589</v>
      </c>
    </row>
    <row r="13" spans="1:9" ht="84.75" customHeight="1">
      <c r="A13" s="46" t="s">
        <v>593</v>
      </c>
      <c r="B13" s="4" t="s">
        <v>844</v>
      </c>
      <c r="C13" s="46" t="s">
        <v>571</v>
      </c>
      <c r="D13" s="2">
        <f>13800</f>
        <v>13800</v>
      </c>
      <c r="E13" s="67" t="s">
        <v>516</v>
      </c>
      <c r="F13" s="46" t="s">
        <v>550</v>
      </c>
      <c r="G13" s="46" t="s">
        <v>537</v>
      </c>
      <c r="H13" s="67" t="str">
        <f>VLOOKUP(F13,Riesgos!B3:K7,MATCH(G13,Riesgos!G2:K2,0)+5,FALSE)</f>
        <v>Bajo</v>
      </c>
      <c r="I13" s="85" t="str">
        <f>VLOOKUP(H13,Riesgos!S2:U6,2,FALSE)</f>
        <v>Asumirlo. Hacer control administrativo rutinario. Seguir los procedimientos establecidos. Utilizar EPP. No requiere permiso especial de trabajo.</v>
      </c>
    </row>
    <row r="14" spans="1:9" ht="69.75" customHeight="1">
      <c r="A14" s="46" t="s">
        <v>593</v>
      </c>
      <c r="B14" s="4" t="s">
        <v>844</v>
      </c>
      <c r="C14" s="46" t="s">
        <v>571</v>
      </c>
      <c r="D14" s="2">
        <f>13800</f>
        <v>13800</v>
      </c>
      <c r="E14" s="67" t="s">
        <v>515</v>
      </c>
      <c r="F14" s="46" t="s">
        <v>524</v>
      </c>
      <c r="G14" s="46" t="s">
        <v>537</v>
      </c>
      <c r="H14" s="67" t="str">
        <f>VLOOKUP(F14,Riesgos!C3:K7,MATCH('Factores de Riesgo'!G14,Riesgos!G2:K2,0)+4,FALSE)</f>
        <v>Bajo</v>
      </c>
      <c r="I14" s="85" t="str">
        <f>VLOOKUP(H14,Riesgos!S2:U6,2,FALSE)</f>
        <v>Asumirlo. Hacer control administrativo rutinario. Seguir los procedimientos establecidos. Utilizar EPP. No requiere permiso especial de trabajo.</v>
      </c>
    </row>
    <row r="15" spans="1:9" ht="81.75" customHeight="1">
      <c r="A15" s="46" t="s">
        <v>593</v>
      </c>
      <c r="B15" s="4" t="s">
        <v>844</v>
      </c>
      <c r="C15" s="46" t="s">
        <v>571</v>
      </c>
      <c r="D15" s="2">
        <f>13800</f>
        <v>13800</v>
      </c>
      <c r="E15" s="67" t="s">
        <v>517</v>
      </c>
      <c r="F15" s="46" t="s">
        <v>528</v>
      </c>
      <c r="G15" s="46" t="s">
        <v>537</v>
      </c>
      <c r="H15" s="67" t="str">
        <f>VLOOKUP(F15,Riesgos!D3:K7,MATCH('Factores de Riesgo'!G15,Riesgos!G2:K2,0)+3,FALSE)</f>
        <v>Bajo</v>
      </c>
      <c r="I15" s="85" t="str">
        <f>VLOOKUP(H15,Riesgos!S2:U6,2,FALSE)</f>
        <v>Asumirlo. Hacer control administrativo rutinario. Seguir los procedimientos establecidos. Utilizar EPP. No requiere permiso especial de trabajo.</v>
      </c>
    </row>
    <row r="16" spans="1:9" ht="75.75" customHeight="1">
      <c r="A16" s="46" t="s">
        <v>593</v>
      </c>
      <c r="B16" s="4" t="s">
        <v>844</v>
      </c>
      <c r="C16" s="46" t="s">
        <v>571</v>
      </c>
      <c r="D16" s="2">
        <f>13800</f>
        <v>13800</v>
      </c>
      <c r="E16" s="67" t="s">
        <v>518</v>
      </c>
      <c r="F16" s="46" t="s">
        <v>534</v>
      </c>
      <c r="G16" s="46" t="s">
        <v>537</v>
      </c>
      <c r="H16" s="67" t="str">
        <f>VLOOKUP(F16,Riesgos!E3:K7,MATCH('Factores de Riesgo'!G16,Riesgos!G2:K2,0)+2,FALSE)</f>
        <v>Bajo</v>
      </c>
      <c r="I16" s="85" t="str">
        <f>VLOOKUP(H16,Riesgos!S2:U6,2,FALSE)</f>
        <v>Asumirlo. Hacer control administrativo rutinario. Seguir los procedimientos establecidos. Utilizar EPP. No requiere permiso especial de trabajo.</v>
      </c>
    </row>
    <row r="17" spans="1:9">
      <c r="A17" s="93"/>
      <c r="B17" s="88"/>
      <c r="C17" s="88"/>
      <c r="D17" s="88"/>
      <c r="E17" s="88"/>
      <c r="F17" s="88"/>
      <c r="G17" s="88"/>
      <c r="H17" s="88"/>
      <c r="I17" s="96"/>
    </row>
    <row r="18" spans="1:9">
      <c r="A18" s="94" t="s">
        <v>590</v>
      </c>
      <c r="B18" s="89"/>
      <c r="C18" s="88"/>
      <c r="D18" s="92" t="s">
        <v>591</v>
      </c>
      <c r="E18" s="89"/>
      <c r="G18" s="91" t="s">
        <v>592</v>
      </c>
      <c r="H18" s="56"/>
      <c r="I18" s="97"/>
    </row>
    <row r="19" spans="1:9">
      <c r="A19" s="95"/>
      <c r="B19" s="89"/>
      <c r="C19" s="89"/>
      <c r="D19" s="89"/>
      <c r="E19" s="89"/>
      <c r="F19" s="89"/>
      <c r="G19" s="89"/>
      <c r="H19" s="89"/>
      <c r="I19" s="98"/>
    </row>
    <row r="22" spans="1:9">
      <c r="A22" s="87" t="s">
        <v>595</v>
      </c>
      <c r="B22" s="20" t="s">
        <v>542</v>
      </c>
      <c r="C22" s="30" t="s">
        <v>543</v>
      </c>
      <c r="D22" s="30" t="s">
        <v>553</v>
      </c>
      <c r="E22" s="30" t="s">
        <v>544</v>
      </c>
      <c r="F22" s="30" t="s">
        <v>544</v>
      </c>
      <c r="G22" s="30" t="s">
        <v>545</v>
      </c>
      <c r="H22" s="30" t="s">
        <v>546</v>
      </c>
      <c r="I22" s="77" t="s">
        <v>589</v>
      </c>
    </row>
    <row r="23" spans="1:9" ht="81.75" customHeight="1">
      <c r="A23" s="46" t="s">
        <v>593</v>
      </c>
      <c r="B23" s="4" t="s">
        <v>845</v>
      </c>
      <c r="C23" s="46" t="s">
        <v>569</v>
      </c>
      <c r="D23" s="2">
        <f>13800</f>
        <v>13800</v>
      </c>
      <c r="E23" s="67" t="s">
        <v>516</v>
      </c>
      <c r="F23" s="46" t="s">
        <v>549</v>
      </c>
      <c r="G23" s="46" t="s">
        <v>536</v>
      </c>
      <c r="H23" s="67" t="str">
        <f>VLOOKUP(F23,Riesgos!B3:K7,MATCH(G23,Riesgos!G2:K2,0)+5,FALSE)</f>
        <v>Bajo</v>
      </c>
      <c r="I23" s="85" t="str">
        <f>VLOOKUP(H23,Riesgos!S2:U6,2,FALSE)</f>
        <v>Asumirlo. Hacer control administrativo rutinario. Seguir los procedimientos establecidos. Utilizar EPP. No requiere permiso especial de trabajo.</v>
      </c>
    </row>
    <row r="24" spans="1:9" ht="90.75" customHeight="1">
      <c r="A24" s="46" t="s">
        <v>593</v>
      </c>
      <c r="B24" s="4" t="s">
        <v>845</v>
      </c>
      <c r="C24" s="46" t="s">
        <v>569</v>
      </c>
      <c r="D24" s="2">
        <f>13800</f>
        <v>13800</v>
      </c>
      <c r="E24" s="67" t="s">
        <v>515</v>
      </c>
      <c r="F24" s="46" t="s">
        <v>524</v>
      </c>
      <c r="G24" s="46" t="s">
        <v>536</v>
      </c>
      <c r="H24" s="67" t="str">
        <f>VLOOKUP(F24,Riesgos!C3:K7,MATCH('Factores de Riesgo'!G24,Riesgos!G2:K2,0)+4,FALSE)</f>
        <v>Muy Bajo</v>
      </c>
      <c r="I24" s="85" t="str">
        <f>VLOOKUP(H24,Riesgos!S2:U6,2,FALSE)</f>
        <v>Vigilar posibles cambios</v>
      </c>
    </row>
    <row r="25" spans="1:9" ht="85.5" customHeight="1">
      <c r="A25" s="46" t="s">
        <v>593</v>
      </c>
      <c r="B25" s="4" t="s">
        <v>845</v>
      </c>
      <c r="C25" s="46" t="s">
        <v>569</v>
      </c>
      <c r="D25" s="2">
        <f>13800</f>
        <v>13800</v>
      </c>
      <c r="E25" s="67" t="s">
        <v>517</v>
      </c>
      <c r="F25" s="46" t="s">
        <v>529</v>
      </c>
      <c r="G25" s="46" t="s">
        <v>536</v>
      </c>
      <c r="H25" s="67" t="str">
        <f>VLOOKUP(F25,Riesgos!D3:K7,MATCH('Factores de Riesgo'!G25,Riesgos!G2:K2,0)+3,FALSE)</f>
        <v>Muy Bajo</v>
      </c>
      <c r="I25" s="85" t="str">
        <f>VLOOKUP(H25,Riesgos!S2:U6,2,FALSE)</f>
        <v>Vigilar posibles cambios</v>
      </c>
    </row>
    <row r="26" spans="1:9" ht="76.5" customHeight="1">
      <c r="A26" s="46" t="s">
        <v>593</v>
      </c>
      <c r="B26" s="4" t="s">
        <v>845</v>
      </c>
      <c r="C26" s="46" t="s">
        <v>569</v>
      </c>
      <c r="D26" s="2">
        <f>13800</f>
        <v>13800</v>
      </c>
      <c r="E26" s="67" t="s">
        <v>518</v>
      </c>
      <c r="F26" s="46" t="s">
        <v>534</v>
      </c>
      <c r="G26" s="46" t="s">
        <v>536</v>
      </c>
      <c r="H26" s="67" t="str">
        <f>VLOOKUP(F26,Riesgos!E3:K7,MATCH('Factores de Riesgo'!G26,Riesgos!G2:K2,0)+2,FALSE)</f>
        <v>Muy Bajo</v>
      </c>
      <c r="I26" s="85" t="str">
        <f>VLOOKUP(H26,Riesgos!S2:U6,2,FALSE)</f>
        <v>Vigilar posibles cambios</v>
      </c>
    </row>
    <row r="27" spans="1:9">
      <c r="A27" s="93"/>
      <c r="B27" s="88"/>
      <c r="C27" s="88"/>
      <c r="D27" s="88"/>
      <c r="E27" s="88"/>
      <c r="F27" s="88"/>
      <c r="G27" s="88"/>
      <c r="H27" s="88"/>
      <c r="I27" s="96"/>
    </row>
    <row r="28" spans="1:9">
      <c r="A28" s="94" t="s">
        <v>590</v>
      </c>
      <c r="B28" s="89"/>
      <c r="C28" s="88"/>
      <c r="D28" s="92" t="s">
        <v>591</v>
      </c>
      <c r="E28" s="89"/>
      <c r="G28" s="91" t="s">
        <v>592</v>
      </c>
      <c r="H28" s="56"/>
      <c r="I28" s="97"/>
    </row>
    <row r="29" spans="1:9">
      <c r="A29" s="95"/>
      <c r="B29" s="89"/>
      <c r="C29" s="89"/>
      <c r="D29" s="89"/>
      <c r="E29" s="89"/>
      <c r="F29" s="89"/>
      <c r="G29" s="89"/>
      <c r="H29" s="89"/>
      <c r="I29" s="98"/>
    </row>
    <row r="32" spans="1:9">
      <c r="A32" s="87" t="s">
        <v>595</v>
      </c>
      <c r="B32" s="20" t="s">
        <v>542</v>
      </c>
      <c r="C32" s="30" t="s">
        <v>543</v>
      </c>
      <c r="D32" s="30" t="s">
        <v>553</v>
      </c>
      <c r="E32" s="30" t="s">
        <v>544</v>
      </c>
      <c r="F32" s="30" t="s">
        <v>544</v>
      </c>
      <c r="G32" s="30" t="s">
        <v>545</v>
      </c>
      <c r="H32" s="30" t="s">
        <v>546</v>
      </c>
      <c r="I32" s="77" t="s">
        <v>589</v>
      </c>
    </row>
    <row r="33" spans="1:9" ht="68.25" customHeight="1">
      <c r="A33" s="46" t="s">
        <v>593</v>
      </c>
      <c r="B33" s="4" t="s">
        <v>845</v>
      </c>
      <c r="C33" s="46" t="s">
        <v>570</v>
      </c>
      <c r="D33" s="2">
        <f>13800</f>
        <v>13800</v>
      </c>
      <c r="E33" s="67" t="s">
        <v>516</v>
      </c>
      <c r="F33" s="46" t="s">
        <v>549</v>
      </c>
      <c r="G33" s="46" t="s">
        <v>536</v>
      </c>
      <c r="H33" s="67" t="str">
        <f>VLOOKUP(F33,Riesgos!B3:K7,MATCH(G33,Riesgos!G2:K2,0)+5,FALSE)</f>
        <v>Bajo</v>
      </c>
      <c r="I33" s="85" t="str">
        <f>VLOOKUP(H33,Riesgos!S2:U6,2,FALSE)</f>
        <v>Asumirlo. Hacer control administrativo rutinario. Seguir los procedimientos establecidos. Utilizar EPP. No requiere permiso especial de trabajo.</v>
      </c>
    </row>
    <row r="34" spans="1:9" ht="73.5" customHeight="1">
      <c r="A34" s="46" t="s">
        <v>593</v>
      </c>
      <c r="B34" s="4" t="s">
        <v>845</v>
      </c>
      <c r="C34" s="46" t="s">
        <v>570</v>
      </c>
      <c r="D34" s="2">
        <f>13800</f>
        <v>13800</v>
      </c>
      <c r="E34" s="67" t="s">
        <v>515</v>
      </c>
      <c r="F34" s="46" t="s">
        <v>523</v>
      </c>
      <c r="G34" s="46" t="s">
        <v>537</v>
      </c>
      <c r="H34" s="67" t="str">
        <f>VLOOKUP(F34,Riesgos!C3:K7,MATCH('Factores de Riesgo'!G34,Riesgos!G2:K2,0)+4,FALSE)</f>
        <v>Bajo</v>
      </c>
      <c r="I34" s="85" t="str">
        <f>VLOOKUP(H34,Riesgos!S2:U6,2,FALSE)</f>
        <v>Asumirlo. Hacer control administrativo rutinario. Seguir los procedimientos establecidos. Utilizar EPP. No requiere permiso especial de trabajo.</v>
      </c>
    </row>
    <row r="35" spans="1:9" ht="87.75" customHeight="1">
      <c r="A35" s="46" t="s">
        <v>593</v>
      </c>
      <c r="B35" s="4" t="s">
        <v>845</v>
      </c>
      <c r="C35" s="46" t="s">
        <v>570</v>
      </c>
      <c r="D35" s="2">
        <f>13800</f>
        <v>13800</v>
      </c>
      <c r="E35" s="67" t="s">
        <v>517</v>
      </c>
      <c r="F35" s="46" t="s">
        <v>528</v>
      </c>
      <c r="G35" s="46" t="s">
        <v>536</v>
      </c>
      <c r="H35" s="67" t="str">
        <f>VLOOKUP(F35,Riesgos!D3:K7,MATCH('Factores de Riesgo'!G35,Riesgos!G2:K2,0)+3,FALSE)</f>
        <v>Bajo</v>
      </c>
      <c r="I35" s="85" t="str">
        <f>VLOOKUP(H35,Riesgos!S2:U6,2,FALSE)</f>
        <v>Asumirlo. Hacer control administrativo rutinario. Seguir los procedimientos establecidos. Utilizar EPP. No requiere permiso especial de trabajo.</v>
      </c>
    </row>
    <row r="36" spans="1:9" ht="87" customHeight="1">
      <c r="A36" s="46" t="s">
        <v>593</v>
      </c>
      <c r="B36" s="4" t="s">
        <v>845</v>
      </c>
      <c r="C36" s="46" t="s">
        <v>570</v>
      </c>
      <c r="D36" s="2">
        <f>13800</f>
        <v>13800</v>
      </c>
      <c r="E36" s="67" t="s">
        <v>518</v>
      </c>
      <c r="F36" s="46" t="s">
        <v>534</v>
      </c>
      <c r="G36" s="46" t="s">
        <v>537</v>
      </c>
      <c r="H36" s="67" t="str">
        <f>VLOOKUP(F36,Riesgos!E3:K7,MATCH('Factores de Riesgo'!G36,Riesgos!G2:K2,0)+2,FALSE)</f>
        <v>Bajo</v>
      </c>
      <c r="I36" s="85" t="str">
        <f>VLOOKUP(H36,Riesgos!S2:U6,2,FALSE)</f>
        <v>Asumirlo. Hacer control administrativo rutinario. Seguir los procedimientos establecidos. Utilizar EPP. No requiere permiso especial de trabajo.</v>
      </c>
    </row>
    <row r="37" spans="1:9">
      <c r="A37" s="93"/>
      <c r="B37" s="88"/>
      <c r="C37" s="88"/>
      <c r="D37" s="88"/>
      <c r="E37" s="88"/>
      <c r="F37" s="88"/>
      <c r="G37" s="88"/>
      <c r="H37" s="88"/>
      <c r="I37" s="96"/>
    </row>
    <row r="38" spans="1:9">
      <c r="A38" s="94" t="s">
        <v>590</v>
      </c>
      <c r="B38" s="89"/>
      <c r="C38" s="88"/>
      <c r="D38" s="92" t="s">
        <v>591</v>
      </c>
      <c r="E38" s="89"/>
      <c r="G38" s="91" t="s">
        <v>592</v>
      </c>
      <c r="H38" s="56"/>
      <c r="I38" s="97"/>
    </row>
    <row r="39" spans="1:9">
      <c r="A39" s="95"/>
      <c r="B39" s="89"/>
      <c r="C39" s="89"/>
      <c r="D39" s="89"/>
      <c r="E39" s="89"/>
      <c r="F39" s="89"/>
      <c r="G39" s="89"/>
      <c r="H39" s="89"/>
      <c r="I39" s="98"/>
    </row>
    <row r="42" spans="1:9">
      <c r="A42" s="87" t="s">
        <v>595</v>
      </c>
      <c r="B42" s="20" t="s">
        <v>542</v>
      </c>
      <c r="C42" s="30" t="s">
        <v>543</v>
      </c>
      <c r="D42" s="30" t="s">
        <v>553</v>
      </c>
      <c r="E42" s="30" t="s">
        <v>544</v>
      </c>
      <c r="F42" s="30" t="s">
        <v>544</v>
      </c>
      <c r="G42" s="30" t="s">
        <v>545</v>
      </c>
      <c r="H42" s="30" t="s">
        <v>546</v>
      </c>
      <c r="I42" s="77" t="s">
        <v>589</v>
      </c>
    </row>
    <row r="43" spans="1:9" ht="58.5" customHeight="1">
      <c r="A43" s="46" t="s">
        <v>593</v>
      </c>
      <c r="B43" s="5"/>
      <c r="C43" s="46" t="s">
        <v>568</v>
      </c>
      <c r="D43" s="2">
        <f>13800</f>
        <v>13800</v>
      </c>
      <c r="E43" s="67" t="s">
        <v>516</v>
      </c>
      <c r="F43" s="46" t="s">
        <v>520</v>
      </c>
      <c r="G43" s="46" t="s">
        <v>536</v>
      </c>
      <c r="H43" s="67" t="str">
        <f>VLOOKUP(F43,Riesgos!B3:K7,MATCH(G43,Riesgos!G2:K2,0)+5,FALSE)</f>
        <v>Medio</v>
      </c>
      <c r="I43" s="85" t="str">
        <f>VLOOKUP(H43,Riesgos!S2:U6,2,FALSE)</f>
        <v>Aceptarlo. Aplicar los sistemas de control (minimizar, aislar, suministrar EPP, procedimientos, protocolos, lista de verificación, usar EPP). Requiere permiso de trabajo.</v>
      </c>
    </row>
    <row r="44" spans="1:9" ht="66.75" customHeight="1">
      <c r="A44" s="46" t="s">
        <v>593</v>
      </c>
      <c r="B44" s="5"/>
      <c r="C44" s="46" t="s">
        <v>568</v>
      </c>
      <c r="D44" s="2">
        <f>13800</f>
        <v>13800</v>
      </c>
      <c r="E44" s="67" t="s">
        <v>515</v>
      </c>
      <c r="F44" s="46" t="s">
        <v>521</v>
      </c>
      <c r="G44" s="46" t="s">
        <v>540</v>
      </c>
      <c r="H44" s="67" t="str">
        <f>VLOOKUP(F44,Riesgos!C3:K7,MATCH('Factores de Riesgo'!G44,Riesgos!G2:K2,0)+4,FALSE)</f>
        <v>Alto</v>
      </c>
      <c r="I44" s="85" t="str">
        <f>VLOOKUP(H44,Riesgos!S2:U6,2,FALSE)</f>
        <v>Minimizarlo. Buscar alternativas que presenten menor riesgo. Demostrar cómo se va a controlar el riesgo, aislar con barreras o distancia, usar EPP. Requiere permiso especial de Trabajo.</v>
      </c>
    </row>
    <row r="45" spans="1:9" ht="63.75" customHeight="1">
      <c r="A45" s="46" t="s">
        <v>593</v>
      </c>
      <c r="B45" s="5"/>
      <c r="C45" s="46" t="s">
        <v>568</v>
      </c>
      <c r="D45" s="2">
        <f>13800</f>
        <v>13800</v>
      </c>
      <c r="E45" s="67" t="s">
        <v>517</v>
      </c>
      <c r="F45" s="46" t="s">
        <v>525</v>
      </c>
      <c r="G45" s="46" t="s">
        <v>536</v>
      </c>
      <c r="H45" s="67" t="str">
        <f>VLOOKUP(F45,Riesgos!D3:K7,MATCH('Factores de Riesgo'!G45,Riesgos!G2:K2,0)+3,FALSE)</f>
        <v>Medio</v>
      </c>
      <c r="I45" s="85" t="str">
        <f>VLOOKUP(H45,Riesgos!S2:U6,2,FALSE)</f>
        <v>Aceptarlo. Aplicar los sistemas de control (minimizar, aislar, suministrar EPP, procedimientos, protocolos, lista de verificación, usar EPP). Requiere permiso de trabajo.</v>
      </c>
    </row>
    <row r="46" spans="1:9" ht="72" customHeight="1">
      <c r="A46" s="46" t="s">
        <v>593</v>
      </c>
      <c r="B46" s="5"/>
      <c r="C46" s="46" t="s">
        <v>568</v>
      </c>
      <c r="D46" s="2">
        <f>13800</f>
        <v>13800</v>
      </c>
      <c r="E46" s="67" t="s">
        <v>518</v>
      </c>
      <c r="F46" s="46" t="s">
        <v>530</v>
      </c>
      <c r="G46" s="46" t="s">
        <v>540</v>
      </c>
      <c r="H46" s="67" t="str">
        <f>VLOOKUP(F46,Riesgos!E3:K7,MATCH('Factores de Riesgo'!G46,Riesgos!G2:K2,0)+2,FALSE)</f>
        <v>Muy Alto</v>
      </c>
      <c r="I46" s="85" t="str">
        <f>VLOOKUP(H46,Riesgos!S2:U6,2,FALSE)</f>
        <v xml:space="preserve">Inadmisible para trabajar. Hay que eliminar fuentes potenciales, hacer reingeniería o minimizarlo y volver a valorarlo en grupo, hasta reducirlo.Requiere permiso especial de Trabajo.   </v>
      </c>
    </row>
    <row r="47" spans="1:9">
      <c r="A47" s="93"/>
      <c r="B47" s="88"/>
      <c r="C47" s="88"/>
      <c r="D47" s="88"/>
      <c r="E47" s="88"/>
      <c r="F47" s="88"/>
      <c r="G47" s="88"/>
      <c r="H47" s="88"/>
      <c r="I47" s="96"/>
    </row>
    <row r="48" spans="1:9">
      <c r="A48" s="94" t="s">
        <v>590</v>
      </c>
      <c r="B48" s="89"/>
      <c r="C48" s="88"/>
      <c r="D48" s="92" t="s">
        <v>591</v>
      </c>
      <c r="E48" s="89"/>
      <c r="G48" s="91" t="s">
        <v>592</v>
      </c>
      <c r="H48" s="56"/>
      <c r="I48" s="97"/>
    </row>
    <row r="49" spans="1:9">
      <c r="A49" s="95"/>
      <c r="B49" s="89"/>
      <c r="C49" s="89"/>
      <c r="D49" s="89"/>
      <c r="E49" s="89"/>
      <c r="F49" s="89"/>
      <c r="G49" s="89"/>
      <c r="H49" s="89"/>
      <c r="I49" s="98"/>
    </row>
    <row r="52" spans="1:9">
      <c r="A52" s="87" t="s">
        <v>595</v>
      </c>
      <c r="B52" s="20" t="s">
        <v>542</v>
      </c>
      <c r="C52" s="30" t="s">
        <v>543</v>
      </c>
      <c r="D52" s="30" t="s">
        <v>553</v>
      </c>
      <c r="E52" s="30" t="s">
        <v>544</v>
      </c>
      <c r="F52" s="30" t="s">
        <v>544</v>
      </c>
      <c r="G52" s="30" t="s">
        <v>545</v>
      </c>
      <c r="H52" s="30" t="s">
        <v>546</v>
      </c>
      <c r="I52" s="77" t="s">
        <v>589</v>
      </c>
    </row>
    <row r="53" spans="1:9" ht="59.25" customHeight="1">
      <c r="A53" s="46"/>
      <c r="B53" s="5"/>
      <c r="C53" s="46" t="s">
        <v>565</v>
      </c>
      <c r="D53" s="2">
        <f>13800</f>
        <v>13800</v>
      </c>
      <c r="E53" s="67" t="s">
        <v>516</v>
      </c>
      <c r="F53" s="46" t="s">
        <v>520</v>
      </c>
      <c r="G53" s="46" t="s">
        <v>536</v>
      </c>
      <c r="H53" s="67" t="str">
        <f>VLOOKUP(F53,Riesgos!B3:K7,MATCH(G53,Riesgos!G2:K2,0)+5,FALSE)</f>
        <v>Medio</v>
      </c>
      <c r="I53" s="85" t="str">
        <f>VLOOKUP(H53,Riesgos!S2:U6,2,FALSE)</f>
        <v>Aceptarlo. Aplicar los sistemas de control (minimizar, aislar, suministrar EPP, procedimientos, protocolos, lista de verificación, usar EPP). Requiere permiso de trabajo.</v>
      </c>
    </row>
    <row r="54" spans="1:9" ht="60.75" customHeight="1">
      <c r="A54" s="46"/>
      <c r="B54" s="5"/>
      <c r="C54" s="46" t="s">
        <v>565</v>
      </c>
      <c r="D54" s="2">
        <f>13800</f>
        <v>13800</v>
      </c>
      <c r="E54" s="67" t="s">
        <v>515</v>
      </c>
      <c r="F54" s="46" t="s">
        <v>521</v>
      </c>
      <c r="G54" s="46" t="s">
        <v>540</v>
      </c>
      <c r="H54" s="67" t="str">
        <f>VLOOKUP(F54,Riesgos!C3:K7,MATCH('Factores de Riesgo'!G54,Riesgos!G2:K2,0)+4,FALSE)</f>
        <v>Alto</v>
      </c>
      <c r="I54" s="85" t="str">
        <f>VLOOKUP(H54,Riesgos!S2:U6,2,FALSE)</f>
        <v>Minimizarlo. Buscar alternativas que presenten menor riesgo. Demostrar cómo se va a controlar el riesgo, aislar con barreras o distancia, usar EPP. Requiere permiso especial de Trabajo.</v>
      </c>
    </row>
    <row r="55" spans="1:9" ht="70.5" customHeight="1">
      <c r="A55" s="46"/>
      <c r="B55" s="5"/>
      <c r="C55" s="46" t="s">
        <v>565</v>
      </c>
      <c r="D55" s="2">
        <f>13800</f>
        <v>13800</v>
      </c>
      <c r="E55" s="67" t="s">
        <v>517</v>
      </c>
      <c r="F55" s="46" t="s">
        <v>525</v>
      </c>
      <c r="G55" s="46" t="s">
        <v>536</v>
      </c>
      <c r="H55" s="67" t="str">
        <f>VLOOKUP(F55,Riesgos!D3:K7,MATCH('Factores de Riesgo'!G55,Riesgos!G2:K2,0)+3,FALSE)</f>
        <v>Medio</v>
      </c>
      <c r="I55" s="85" t="str">
        <f>VLOOKUP(H55,Riesgos!S2:U6,2,FALSE)</f>
        <v>Aceptarlo. Aplicar los sistemas de control (minimizar, aislar, suministrar EPP, procedimientos, protocolos, lista de verificación, usar EPP). Requiere permiso de trabajo.</v>
      </c>
    </row>
    <row r="56" spans="1:9" ht="62.25" customHeight="1">
      <c r="A56" s="46"/>
      <c r="B56" s="5"/>
      <c r="C56" s="46" t="s">
        <v>565</v>
      </c>
      <c r="D56" s="2">
        <f>13800</f>
        <v>13800</v>
      </c>
      <c r="E56" s="67" t="s">
        <v>518</v>
      </c>
      <c r="F56" s="46" t="s">
        <v>530</v>
      </c>
      <c r="G56" s="46" t="s">
        <v>540</v>
      </c>
      <c r="H56" s="67" t="str">
        <f>VLOOKUP(F56,Riesgos!E3:K7,MATCH('Factores de Riesgo'!G56,Riesgos!G2:K2,0)+2,FALSE)</f>
        <v>Muy Alto</v>
      </c>
      <c r="I56" s="85" t="str">
        <f>VLOOKUP(H56,Riesgos!S2:U6,2,FALSE)</f>
        <v xml:space="preserve">Inadmisible para trabajar. Hay que eliminar fuentes potenciales, hacer reingeniería o minimizarlo y volver a valorarlo en grupo, hasta reducirlo.Requiere permiso especial de Trabajo.   </v>
      </c>
    </row>
    <row r="57" spans="1:9">
      <c r="A57" s="93"/>
      <c r="B57" s="88"/>
      <c r="C57" s="88"/>
      <c r="D57" s="88"/>
      <c r="E57" s="88"/>
      <c r="F57" s="88"/>
      <c r="G57" s="88"/>
      <c r="H57" s="88"/>
      <c r="I57" s="96"/>
    </row>
    <row r="58" spans="1:9">
      <c r="A58" s="94" t="s">
        <v>590</v>
      </c>
      <c r="B58" s="89"/>
      <c r="C58" s="88"/>
      <c r="D58" s="92" t="s">
        <v>591</v>
      </c>
      <c r="E58" s="89"/>
      <c r="G58" s="91" t="s">
        <v>592</v>
      </c>
      <c r="H58" s="56"/>
      <c r="I58" s="97"/>
    </row>
    <row r="59" spans="1:9">
      <c r="A59" s="95"/>
      <c r="B59" s="89"/>
      <c r="C59" s="89"/>
      <c r="D59" s="89"/>
      <c r="E59" s="89"/>
      <c r="F59" s="89"/>
      <c r="G59" s="89"/>
      <c r="H59" s="89"/>
      <c r="I59" s="98"/>
    </row>
  </sheetData>
  <dataConsolidate function="varp"/>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E00-000000000000}">
          <x14:formula1>
            <xm:f>Riesgos!$G$2:$K$2</xm:f>
          </x14:formula1>
          <xm:sqref>G3:G6 G13:G16 G23:G26 G33:G36 G43:G46 G53:G56</xm:sqref>
        </x14:dataValidation>
        <x14:dataValidation type="list" allowBlank="1" showInputMessage="1" showErrorMessage="1" xr:uid="{00000000-0002-0000-0E00-000001000000}">
          <x14:formula1>
            <xm:f>Riesgos!$B$3:$B$7</xm:f>
          </x14:formula1>
          <xm:sqref>F3 F13 F23 F33 F43 F53</xm:sqref>
        </x14:dataValidation>
        <x14:dataValidation type="list" allowBlank="1" showInputMessage="1" showErrorMessage="1" xr:uid="{00000000-0002-0000-0E00-000002000000}">
          <x14:formula1>
            <xm:f>Riesgos!$C$3:$C$7</xm:f>
          </x14:formula1>
          <xm:sqref>F4 F14 F24 F34 F44 F54</xm:sqref>
        </x14:dataValidation>
        <x14:dataValidation type="list" allowBlank="1" showInputMessage="1" showErrorMessage="1" xr:uid="{00000000-0002-0000-0E00-000003000000}">
          <x14:formula1>
            <xm:f>Riesgos!$D$3:$D$7</xm:f>
          </x14:formula1>
          <xm:sqref>F5 F15 F25 F35 F45 F55</xm:sqref>
        </x14:dataValidation>
        <x14:dataValidation type="list" allowBlank="1" showInputMessage="1" showErrorMessage="1" xr:uid="{00000000-0002-0000-0E00-000004000000}">
          <x14:formula1>
            <xm:f>Riesgos!$E$3:$E$7</xm:f>
          </x14:formula1>
          <xm:sqref>F6 F16 F26 F36 F46 F56</xm:sqref>
        </x14:dataValidation>
        <x14:dataValidation type="list" allowBlank="1" showInputMessage="1" showErrorMessage="1" xr:uid="{00000000-0002-0000-0E00-000005000000}">
          <x14:formula1>
            <xm:f>Riesgos!$Q$1:$Q$11</xm:f>
          </x14:formula1>
          <xm:sqref>C3:C6 C13:C16 C23:C26 C33:C36 C43:C46 C53:C56</xm:sqref>
        </x14:dataValidation>
        <x14:dataValidation type="list" allowBlank="1" showInputMessage="1" showErrorMessage="1" xr:uid="{00000000-0002-0000-0E00-000006000000}">
          <x14:formula1>
            <xm:f>Riesgos!$M$1:$M$2</xm:f>
          </x14:formula1>
          <xm:sqref>A3:A6 A13:A16 A23:A26 A33:A36 A43:A46 A53:A56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9"/>
  <dimension ref="A1:V11"/>
  <sheetViews>
    <sheetView workbookViewId="0">
      <selection activeCell="K2" sqref="K2"/>
    </sheetView>
  </sheetViews>
  <sheetFormatPr baseColWidth="10" defaultRowHeight="15"/>
  <cols>
    <col min="1" max="1" width="6.140625" customWidth="1"/>
    <col min="2" max="2" width="15.140625" customWidth="1"/>
    <col min="3" max="3" width="18.85546875" customWidth="1"/>
    <col min="4" max="4" width="14.42578125" customWidth="1"/>
    <col min="5" max="5" width="17.5703125" customWidth="1"/>
    <col min="6" max="6" width="3.85546875" customWidth="1"/>
    <col min="7" max="7" width="13.5703125" customWidth="1"/>
    <col min="8" max="8" width="14.140625" customWidth="1"/>
    <col min="9" max="9" width="12.5703125" customWidth="1"/>
    <col min="10" max="10" width="14.28515625" customWidth="1"/>
    <col min="11" max="11" width="14.140625" customWidth="1"/>
    <col min="15" max="15" width="26.85546875" customWidth="1"/>
    <col min="16" max="16" width="98" customWidth="1"/>
    <col min="17" max="17" width="26.5703125" customWidth="1"/>
    <col min="19" max="19" width="28.42578125" customWidth="1"/>
    <col min="20" max="20" width="40.42578125" customWidth="1"/>
    <col min="21" max="21" width="41.7109375" customWidth="1"/>
    <col min="22" max="22" width="41.28515625" customWidth="1"/>
  </cols>
  <sheetData>
    <row r="1" spans="1:22" ht="129.75" customHeight="1">
      <c r="G1" s="43"/>
      <c r="H1" s="43"/>
      <c r="I1" s="43"/>
      <c r="J1" s="43"/>
      <c r="K1" s="43"/>
      <c r="M1" s="21" t="s">
        <v>594</v>
      </c>
      <c r="O1" s="15"/>
      <c r="P1" s="84" t="s">
        <v>564</v>
      </c>
      <c r="Q1" s="2" t="s">
        <v>565</v>
      </c>
      <c r="S1" s="22" t="s">
        <v>576</v>
      </c>
      <c r="T1" s="21" t="s">
        <v>577</v>
      </c>
      <c r="U1" s="21" t="s">
        <v>578</v>
      </c>
      <c r="V1" s="21"/>
    </row>
    <row r="2" spans="1:22" ht="107.25" customHeight="1">
      <c r="B2" s="22"/>
      <c r="C2" s="22"/>
      <c r="D2" s="22"/>
      <c r="E2" s="22"/>
      <c r="F2" s="22"/>
      <c r="G2" s="67" t="s">
        <v>536</v>
      </c>
      <c r="H2" s="67" t="s">
        <v>537</v>
      </c>
      <c r="I2" s="67" t="s">
        <v>538</v>
      </c>
      <c r="J2" s="67" t="s">
        <v>539</v>
      </c>
      <c r="K2" s="67" t="s">
        <v>540</v>
      </c>
      <c r="M2" s="86" t="s">
        <v>593</v>
      </c>
      <c r="O2" s="15"/>
      <c r="P2" s="84" t="s">
        <v>563</v>
      </c>
      <c r="Q2" s="67" t="s">
        <v>566</v>
      </c>
      <c r="S2" s="80" t="s">
        <v>541</v>
      </c>
      <c r="T2" s="22" t="s">
        <v>579</v>
      </c>
      <c r="U2" s="22" t="s">
        <v>584</v>
      </c>
      <c r="V2" s="22"/>
    </row>
    <row r="3" spans="1:22" ht="100.5" customHeight="1">
      <c r="A3" s="385" t="s">
        <v>519</v>
      </c>
      <c r="B3" s="67" t="s">
        <v>520</v>
      </c>
      <c r="C3" s="67" t="s">
        <v>552</v>
      </c>
      <c r="D3" s="67" t="s">
        <v>525</v>
      </c>
      <c r="E3" s="67" t="s">
        <v>530</v>
      </c>
      <c r="F3" s="22">
        <v>5</v>
      </c>
      <c r="G3" s="78" t="s">
        <v>535</v>
      </c>
      <c r="H3" s="79" t="s">
        <v>332</v>
      </c>
      <c r="I3" s="79" t="s">
        <v>332</v>
      </c>
      <c r="J3" s="79" t="s">
        <v>332</v>
      </c>
      <c r="K3" s="80" t="s">
        <v>541</v>
      </c>
      <c r="O3" s="15"/>
      <c r="P3" s="83" t="s">
        <v>562</v>
      </c>
      <c r="Q3" s="2" t="s">
        <v>567</v>
      </c>
      <c r="S3" s="79" t="s">
        <v>332</v>
      </c>
      <c r="T3" s="22" t="s">
        <v>580</v>
      </c>
      <c r="U3" s="22" t="s">
        <v>585</v>
      </c>
      <c r="V3" s="22"/>
    </row>
    <row r="4" spans="1:22" ht="99" customHeight="1">
      <c r="A4" s="386"/>
      <c r="B4" s="67" t="s">
        <v>547</v>
      </c>
      <c r="C4" s="67" t="s">
        <v>521</v>
      </c>
      <c r="D4" s="67" t="s">
        <v>526</v>
      </c>
      <c r="E4" s="67" t="s">
        <v>531</v>
      </c>
      <c r="F4" s="22">
        <v>4</v>
      </c>
      <c r="G4" s="78" t="s">
        <v>535</v>
      </c>
      <c r="H4" s="78" t="s">
        <v>535</v>
      </c>
      <c r="I4" s="78" t="s">
        <v>535</v>
      </c>
      <c r="J4" s="79" t="s">
        <v>332</v>
      </c>
      <c r="K4" s="79" t="s">
        <v>332</v>
      </c>
      <c r="O4" s="15"/>
      <c r="P4" s="83" t="s">
        <v>554</v>
      </c>
      <c r="Q4" s="2" t="s">
        <v>568</v>
      </c>
      <c r="S4" s="78" t="s">
        <v>535</v>
      </c>
      <c r="T4" s="22" t="s">
        <v>581</v>
      </c>
      <c r="U4" s="22" t="s">
        <v>586</v>
      </c>
      <c r="V4" s="22"/>
    </row>
    <row r="5" spans="1:22" ht="112.5" customHeight="1">
      <c r="A5" s="386"/>
      <c r="B5" s="67" t="s">
        <v>548</v>
      </c>
      <c r="C5" s="67" t="s">
        <v>522</v>
      </c>
      <c r="D5" s="67" t="s">
        <v>527</v>
      </c>
      <c r="E5" s="67" t="s">
        <v>532</v>
      </c>
      <c r="F5" s="22">
        <v>3</v>
      </c>
      <c r="G5" s="81" t="s">
        <v>312</v>
      </c>
      <c r="H5" s="78" t="s">
        <v>535</v>
      </c>
      <c r="I5" s="78" t="s">
        <v>535</v>
      </c>
      <c r="J5" s="78" t="s">
        <v>535</v>
      </c>
      <c r="K5" s="79" t="s">
        <v>332</v>
      </c>
      <c r="O5" s="15"/>
      <c r="P5" s="83" t="s">
        <v>555</v>
      </c>
      <c r="Q5" s="2" t="s">
        <v>570</v>
      </c>
      <c r="S5" s="81" t="s">
        <v>312</v>
      </c>
      <c r="T5" s="22" t="s">
        <v>582</v>
      </c>
      <c r="U5" s="22" t="s">
        <v>587</v>
      </c>
      <c r="V5" s="22"/>
    </row>
    <row r="6" spans="1:22" ht="78" customHeight="1">
      <c r="A6" s="386"/>
      <c r="B6" s="67" t="s">
        <v>549</v>
      </c>
      <c r="C6" s="67" t="s">
        <v>523</v>
      </c>
      <c r="D6" s="67" t="s">
        <v>528</v>
      </c>
      <c r="E6" s="67" t="s">
        <v>533</v>
      </c>
      <c r="F6" s="22">
        <v>2</v>
      </c>
      <c r="G6" s="81" t="s">
        <v>312</v>
      </c>
      <c r="H6" s="81" t="s">
        <v>312</v>
      </c>
      <c r="I6" s="78" t="s">
        <v>535</v>
      </c>
      <c r="J6" s="78" t="s">
        <v>535</v>
      </c>
      <c r="K6" s="78" t="s">
        <v>535</v>
      </c>
      <c r="O6" s="15"/>
      <c r="P6" s="83" t="s">
        <v>556</v>
      </c>
      <c r="Q6" s="2" t="s">
        <v>569</v>
      </c>
      <c r="S6" s="82" t="s">
        <v>551</v>
      </c>
      <c r="T6" s="22" t="s">
        <v>583</v>
      </c>
      <c r="U6" s="22" t="s">
        <v>588</v>
      </c>
      <c r="V6" s="22"/>
    </row>
    <row r="7" spans="1:22" ht="82.5" customHeight="1">
      <c r="A7" s="387"/>
      <c r="B7" s="67" t="s">
        <v>550</v>
      </c>
      <c r="C7" s="67" t="s">
        <v>524</v>
      </c>
      <c r="D7" s="67" t="s">
        <v>529</v>
      </c>
      <c r="E7" s="67" t="s">
        <v>534</v>
      </c>
      <c r="F7" s="22">
        <v>1</v>
      </c>
      <c r="G7" s="82" t="s">
        <v>551</v>
      </c>
      <c r="H7" s="81" t="s">
        <v>312</v>
      </c>
      <c r="I7" s="81" t="s">
        <v>312</v>
      </c>
      <c r="J7" s="81" t="s">
        <v>312</v>
      </c>
      <c r="K7" s="78" t="s">
        <v>535</v>
      </c>
      <c r="O7" s="15"/>
      <c r="P7" s="83" t="s">
        <v>557</v>
      </c>
      <c r="Q7" s="2" t="s">
        <v>571</v>
      </c>
    </row>
    <row r="8" spans="1:22" ht="79.5" customHeight="1">
      <c r="O8" s="15"/>
      <c r="P8" s="83" t="s">
        <v>558</v>
      </c>
      <c r="Q8" s="2" t="s">
        <v>572</v>
      </c>
    </row>
    <row r="9" spans="1:22" ht="115.5" customHeight="1">
      <c r="O9" s="15"/>
      <c r="P9" s="83" t="s">
        <v>559</v>
      </c>
      <c r="Q9" s="2" t="s">
        <v>573</v>
      </c>
    </row>
    <row r="10" spans="1:22" ht="74.25" customHeight="1">
      <c r="O10" s="15"/>
      <c r="P10" s="83" t="s">
        <v>560</v>
      </c>
      <c r="Q10" s="2" t="s">
        <v>574</v>
      </c>
    </row>
    <row r="11" spans="1:22" ht="68.25" customHeight="1">
      <c r="O11" s="15"/>
      <c r="P11" s="83" t="s">
        <v>561</v>
      </c>
      <c r="Q11" s="2" t="s">
        <v>575</v>
      </c>
    </row>
  </sheetData>
  <dataConsolidate topLabels="1"/>
  <mergeCells count="1">
    <mergeCell ref="A3:A7"/>
  </mergeCells>
  <pageMargins left="0.7" right="0.7" top="0.75" bottom="0.75" header="0.3" footer="0.3"/>
  <pageSetup orientation="portrait" r:id="rId1"/>
  <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2"/>
  <dimension ref="C1:BZ101"/>
  <sheetViews>
    <sheetView showGridLines="0" topLeftCell="C37" zoomScaleNormal="100" workbookViewId="0">
      <selection activeCell="E44" sqref="E44"/>
    </sheetView>
  </sheetViews>
  <sheetFormatPr baseColWidth="10" defaultRowHeight="15"/>
  <cols>
    <col min="3" max="3" width="9.42578125" customWidth="1"/>
    <col min="4" max="4" width="14.42578125" customWidth="1"/>
    <col min="5" max="5" width="15.28515625" customWidth="1"/>
    <col min="7" max="7" width="21.5703125" customWidth="1"/>
    <col min="8" max="8" width="25.28515625" customWidth="1"/>
    <col min="9" max="9" width="16.140625" customWidth="1"/>
    <col min="35" max="35" width="17" customWidth="1"/>
    <col min="76" max="76" width="23.42578125" customWidth="1"/>
    <col min="78" max="78" width="14.42578125" customWidth="1"/>
  </cols>
  <sheetData>
    <row r="1" spans="3:47" s="88" customFormat="1"/>
    <row r="2" spans="3:47" s="88" customFormat="1"/>
    <row r="3" spans="3:47" s="88" customFormat="1"/>
    <row r="4" spans="3:47" s="88" customFormat="1">
      <c r="AG4" s="342" t="s">
        <v>702</v>
      </c>
      <c r="AH4" s="343"/>
      <c r="AI4" s="343"/>
      <c r="AJ4" s="343"/>
      <c r="AK4" s="343"/>
      <c r="AL4" s="343"/>
      <c r="AM4" s="344"/>
      <c r="AN4" s="128" t="s">
        <v>707</v>
      </c>
      <c r="AO4" s="128"/>
      <c r="AP4" s="128"/>
      <c r="AQ4" s="128"/>
      <c r="AR4" s="128"/>
      <c r="AS4" s="128"/>
      <c r="AT4" s="128"/>
      <c r="AU4" s="128"/>
    </row>
    <row r="5" spans="3:47">
      <c r="C5" s="415" t="s">
        <v>646</v>
      </c>
      <c r="D5" s="415"/>
      <c r="E5" s="415"/>
      <c r="F5" s="415"/>
      <c r="G5" s="415"/>
      <c r="H5" s="415"/>
      <c r="I5" s="415"/>
      <c r="J5" s="415"/>
      <c r="AG5" s="380"/>
      <c r="AH5" s="381"/>
      <c r="AI5" s="381"/>
      <c r="AJ5" s="381"/>
      <c r="AK5" s="381"/>
      <c r="AL5" s="381"/>
      <c r="AM5" s="382"/>
      <c r="AN5" s="128" t="s">
        <v>687</v>
      </c>
      <c r="AO5" s="128" t="str">
        <f>COMPLEX(AH7,0)</f>
        <v>0</v>
      </c>
      <c r="AP5" s="128" t="s">
        <v>708</v>
      </c>
      <c r="AQ5" s="128" t="s">
        <v>709</v>
      </c>
      <c r="AR5" s="128"/>
      <c r="AS5" s="128"/>
      <c r="AT5" s="128" t="s">
        <v>710</v>
      </c>
      <c r="AU5" s="128"/>
    </row>
    <row r="6" spans="3:47">
      <c r="C6" s="415"/>
      <c r="D6" s="415"/>
      <c r="E6" s="415"/>
      <c r="F6" s="415"/>
      <c r="G6" s="415"/>
      <c r="H6" s="415"/>
      <c r="I6" s="415"/>
      <c r="J6" s="415"/>
      <c r="AG6" s="115" t="s">
        <v>685</v>
      </c>
      <c r="AH6" s="107">
        <v>13.2</v>
      </c>
      <c r="AI6" s="108" t="s">
        <v>686</v>
      </c>
      <c r="AJ6" s="110"/>
      <c r="AK6" s="110"/>
      <c r="AL6" s="110"/>
      <c r="AM6" s="111"/>
      <c r="AN6" s="128" t="s">
        <v>688</v>
      </c>
      <c r="AO6" s="128" t="str">
        <f t="shared" ref="AO6:AO8" si="0">COMPLEX(AH8,0)</f>
        <v>0.0085</v>
      </c>
      <c r="AP6" s="128" t="str">
        <f>IMSUM(3*AO5,IMSUM(AO6:AO11))</f>
        <v>0.0504+1.851i</v>
      </c>
      <c r="AQ6" s="128"/>
      <c r="AR6" s="128"/>
      <c r="AS6" s="128"/>
      <c r="AT6" s="128"/>
      <c r="AU6" s="128"/>
    </row>
    <row r="7" spans="3:47">
      <c r="C7" s="415"/>
      <c r="D7" s="415"/>
      <c r="E7" s="415"/>
      <c r="F7" s="415"/>
      <c r="G7" s="415"/>
      <c r="H7" s="415"/>
      <c r="I7" s="415"/>
      <c r="J7" s="415"/>
      <c r="AG7" s="115"/>
      <c r="AH7" s="107"/>
      <c r="AI7" s="108"/>
      <c r="AJ7" s="110"/>
      <c r="AK7" s="110"/>
      <c r="AL7" s="110"/>
      <c r="AM7" s="111"/>
      <c r="AN7" s="128" t="s">
        <v>690</v>
      </c>
      <c r="AO7" s="128" t="str">
        <f t="shared" si="0"/>
        <v>0.0085</v>
      </c>
      <c r="AP7" s="128"/>
      <c r="AQ7" s="128" t="str">
        <f>IMSUM(AO6,AO9)</f>
        <v>0.0085+0.617i</v>
      </c>
      <c r="AR7" s="128"/>
      <c r="AS7" s="128" t="s">
        <v>712</v>
      </c>
      <c r="AT7" s="128">
        <v>2</v>
      </c>
      <c r="AU7" s="128"/>
    </row>
    <row r="8" spans="3:47">
      <c r="C8" s="196"/>
      <c r="D8" s="197"/>
      <c r="E8" s="197"/>
      <c r="F8" s="197"/>
      <c r="G8" s="197"/>
      <c r="H8" s="197"/>
      <c r="I8" s="197"/>
      <c r="J8" s="198"/>
      <c r="AG8" s="115" t="s">
        <v>688</v>
      </c>
      <c r="AH8" s="107">
        <v>8.5000000000000006E-3</v>
      </c>
      <c r="AI8" s="108" t="s">
        <v>689</v>
      </c>
      <c r="AJ8" s="110"/>
      <c r="AK8" s="110"/>
      <c r="AL8" s="110"/>
      <c r="AM8" s="111"/>
      <c r="AN8" s="128" t="s">
        <v>692</v>
      </c>
      <c r="AO8" s="128" t="str">
        <f t="shared" si="0"/>
        <v>0.0334</v>
      </c>
      <c r="AP8" s="128"/>
      <c r="AQ8" s="128" t="str">
        <f>IMSUM(AO7,AO10)</f>
        <v>0.0085+0.617i</v>
      </c>
      <c r="AR8" s="128"/>
      <c r="AS8" s="128" t="s">
        <v>711</v>
      </c>
      <c r="AT8" s="128">
        <f>IMABS(IMDIV(IMPRODUCT(AO12,AQ8),IMSUM(IMPRODUCT(IMSUM(AQ8,AQ9),AQ7),IMPRODUCT(AQ8,AQ9))))</f>
        <v>4113.8440171986604</v>
      </c>
      <c r="AU8" s="128"/>
    </row>
    <row r="9" spans="3:47">
      <c r="C9" s="196"/>
      <c r="D9" s="199" t="s">
        <v>661</v>
      </c>
      <c r="E9" s="199"/>
      <c r="F9" s="212">
        <v>18.86</v>
      </c>
      <c r="G9" s="197" t="s">
        <v>650</v>
      </c>
      <c r="H9" s="213" t="s">
        <v>647</v>
      </c>
      <c r="I9" s="213"/>
      <c r="J9" s="198"/>
      <c r="AG9" s="115" t="s">
        <v>690</v>
      </c>
      <c r="AH9" s="107">
        <v>8.5000000000000006E-3</v>
      </c>
      <c r="AI9" s="108" t="s">
        <v>691</v>
      </c>
      <c r="AJ9" s="110"/>
      <c r="AK9" s="110"/>
      <c r="AL9" s="110"/>
      <c r="AM9" s="111"/>
      <c r="AN9" s="128" t="s">
        <v>694</v>
      </c>
      <c r="AO9" s="128" t="str">
        <f>COMPLEX(0,AH11)</f>
        <v>0.617i</v>
      </c>
      <c r="AP9" s="128"/>
      <c r="AQ9" s="128" t="str">
        <f t="shared" ref="AQ9" si="1">IMSUM(AO8,AO11)</f>
        <v>0.0334+0.617i</v>
      </c>
      <c r="AR9" s="128"/>
      <c r="AS9" s="128"/>
      <c r="AT9" s="128">
        <f>IMABS(IMDIV(IMPRODUCT(AO12,AQ8),IMSUM(AQ7:AQ9)))</f>
        <v>2539.6409743948693</v>
      </c>
      <c r="AU9" s="128"/>
    </row>
    <row r="10" spans="3:47">
      <c r="C10" s="196"/>
      <c r="D10" s="199"/>
      <c r="E10" s="199"/>
      <c r="F10" s="214">
        <v>5000</v>
      </c>
      <c r="G10" s="197" t="s">
        <v>650</v>
      </c>
      <c r="H10" s="213" t="s">
        <v>648</v>
      </c>
      <c r="I10" s="213"/>
      <c r="J10" s="198"/>
      <c r="AG10" s="115" t="s">
        <v>692</v>
      </c>
      <c r="AH10" s="107">
        <v>3.3399999999999999E-2</v>
      </c>
      <c r="AI10" s="108" t="s">
        <v>693</v>
      </c>
      <c r="AJ10" s="110"/>
      <c r="AK10" s="110"/>
      <c r="AL10" s="110"/>
      <c r="AM10" s="111"/>
      <c r="AN10" s="128" t="s">
        <v>696</v>
      </c>
      <c r="AO10" s="128" t="str">
        <f t="shared" ref="AO10:AO11" si="2">COMPLEX(0,AH12)</f>
        <v>0.617i</v>
      </c>
      <c r="AP10" s="128"/>
      <c r="AQ10" s="128"/>
      <c r="AR10" s="128"/>
      <c r="AS10" s="128"/>
      <c r="AT10" s="128"/>
      <c r="AU10" s="128"/>
    </row>
    <row r="11" spans="3:47">
      <c r="C11" s="196"/>
      <c r="D11" s="199" t="s">
        <v>662</v>
      </c>
      <c r="E11" s="199"/>
      <c r="F11" s="212">
        <v>0.15</v>
      </c>
      <c r="G11" s="197" t="s">
        <v>651</v>
      </c>
      <c r="H11" s="213" t="s">
        <v>649</v>
      </c>
      <c r="I11" s="213"/>
      <c r="J11" s="198"/>
      <c r="AG11" s="115" t="s">
        <v>694</v>
      </c>
      <c r="AH11" s="107">
        <v>0.61699999999999999</v>
      </c>
      <c r="AI11" s="108" t="s">
        <v>695</v>
      </c>
      <c r="AJ11" s="110"/>
      <c r="AK11" s="110"/>
      <c r="AL11" s="110"/>
      <c r="AM11" s="111"/>
      <c r="AN11" s="128" t="s">
        <v>698</v>
      </c>
      <c r="AO11" s="128" t="str">
        <f t="shared" si="2"/>
        <v>0.617i</v>
      </c>
      <c r="AP11" s="128"/>
      <c r="AQ11" s="128"/>
      <c r="AR11" s="128"/>
      <c r="AS11" s="128"/>
      <c r="AT11" s="128"/>
      <c r="AU11" s="128"/>
    </row>
    <row r="12" spans="3:47">
      <c r="C12" s="196"/>
      <c r="D12" s="199" t="s">
        <v>761</v>
      </c>
      <c r="E12" s="197"/>
      <c r="F12" s="197">
        <f>1-((0.09*(1-(F9/F10)))/((2*F11)+0.09))</f>
        <v>0.77010123076923076</v>
      </c>
      <c r="G12" s="197" t="s">
        <v>762</v>
      </c>
      <c r="H12" s="197"/>
      <c r="I12" s="197"/>
      <c r="J12" s="198"/>
      <c r="AG12" s="115" t="s">
        <v>696</v>
      </c>
      <c r="AH12" s="107">
        <v>0.61699999999999999</v>
      </c>
      <c r="AI12" s="108" t="s">
        <v>697</v>
      </c>
      <c r="AJ12" s="110"/>
      <c r="AK12" s="110"/>
      <c r="AL12" s="110"/>
      <c r="AM12" s="111"/>
      <c r="AN12" s="128" t="s">
        <v>700</v>
      </c>
      <c r="AO12" s="128" t="str">
        <f>COMPLEX(AH6*1000/SQRT(3),0)</f>
        <v>7621.02355330306</v>
      </c>
      <c r="AP12" s="128"/>
      <c r="AQ12" s="128"/>
      <c r="AR12" s="128"/>
      <c r="AS12" s="128"/>
      <c r="AT12" s="128"/>
      <c r="AU12" s="128"/>
    </row>
    <row r="13" spans="3:47">
      <c r="C13" s="196"/>
      <c r="D13" s="197"/>
      <c r="E13" s="197"/>
      <c r="F13" s="197"/>
      <c r="G13" s="197"/>
      <c r="H13" s="197"/>
      <c r="I13" s="197"/>
      <c r="J13" s="198"/>
      <c r="AG13" s="115" t="s">
        <v>698</v>
      </c>
      <c r="AH13" s="107">
        <v>0.61699999999999999</v>
      </c>
      <c r="AI13" s="108" t="s">
        <v>699</v>
      </c>
      <c r="AJ13" s="110"/>
      <c r="AK13" s="110"/>
      <c r="AL13" s="110"/>
      <c r="AM13" s="111">
        <v>1</v>
      </c>
      <c r="AN13" s="128"/>
      <c r="AO13" s="128"/>
      <c r="AP13" s="128"/>
      <c r="AQ13" s="128"/>
      <c r="AR13" s="128"/>
      <c r="AS13" s="128"/>
      <c r="AT13" s="128"/>
      <c r="AU13" s="128"/>
    </row>
    <row r="14" spans="3:47">
      <c r="C14" s="415" t="s">
        <v>663</v>
      </c>
      <c r="D14" s="415"/>
      <c r="E14" s="415"/>
      <c r="F14" s="415"/>
      <c r="G14" s="415"/>
      <c r="H14" s="415"/>
      <c r="I14" s="415"/>
      <c r="J14" s="415"/>
      <c r="AG14" s="121"/>
      <c r="AH14" s="122"/>
      <c r="AI14" s="122"/>
      <c r="AJ14" s="110"/>
      <c r="AK14" s="110"/>
      <c r="AL14" s="110"/>
      <c r="AM14" s="111"/>
      <c r="AN14" s="128" t="s">
        <v>701</v>
      </c>
      <c r="AO14" s="128">
        <f>IMAGINARY(AP6)/IMREAL(AP6)</f>
        <v>36.726190476190474</v>
      </c>
      <c r="AP14" s="128"/>
      <c r="AQ14" s="128"/>
      <c r="AR14" s="128"/>
      <c r="AS14" s="128"/>
      <c r="AT14" s="128"/>
      <c r="AU14" s="128"/>
    </row>
    <row r="15" spans="3:47">
      <c r="C15" s="415"/>
      <c r="D15" s="415"/>
      <c r="E15" s="415"/>
      <c r="F15" s="415"/>
      <c r="G15" s="415"/>
      <c r="H15" s="415"/>
      <c r="I15" s="415"/>
      <c r="J15" s="415"/>
      <c r="AG15" s="123" t="s">
        <v>681</v>
      </c>
      <c r="AH15" s="124">
        <f>IF(AT7=1,AT8,AT9)</f>
        <v>2539.6409743948693</v>
      </c>
      <c r="AI15" s="125" t="s">
        <v>682</v>
      </c>
      <c r="AJ15" s="113"/>
      <c r="AK15" s="127" t="s">
        <v>706</v>
      </c>
      <c r="AL15" s="113"/>
      <c r="AM15" s="114"/>
      <c r="AN15" s="128"/>
      <c r="AO15" s="128"/>
      <c r="AP15" s="128"/>
      <c r="AQ15" s="128"/>
      <c r="AR15" s="128"/>
      <c r="AS15" s="128"/>
      <c r="AT15" s="128"/>
      <c r="AU15" s="128"/>
    </row>
    <row r="16" spans="3:47">
      <c r="C16" s="196"/>
      <c r="D16" s="197"/>
      <c r="E16" s="197"/>
      <c r="F16" s="197"/>
      <c r="G16" s="197"/>
      <c r="H16" s="197"/>
      <c r="I16" s="197"/>
      <c r="J16" s="198"/>
    </row>
    <row r="17" spans="3:10">
      <c r="C17" s="196"/>
      <c r="D17" s="200" t="s">
        <v>652</v>
      </c>
      <c r="E17" s="200"/>
      <c r="F17" s="212">
        <v>8</v>
      </c>
      <c r="G17" s="197" t="s">
        <v>651</v>
      </c>
      <c r="H17" s="200" t="s">
        <v>666</v>
      </c>
      <c r="I17" s="212">
        <v>10</v>
      </c>
      <c r="J17" s="198"/>
    </row>
    <row r="18" spans="3:10">
      <c r="C18" s="196"/>
      <c r="D18" s="200" t="s">
        <v>653</v>
      </c>
      <c r="E18" s="200"/>
      <c r="F18" s="212">
        <v>6</v>
      </c>
      <c r="G18" s="197" t="s">
        <v>651</v>
      </c>
      <c r="H18" s="200" t="s">
        <v>667</v>
      </c>
      <c r="I18" s="212">
        <v>2.4</v>
      </c>
      <c r="J18" s="198" t="s">
        <v>651</v>
      </c>
    </row>
    <row r="19" spans="3:10" ht="13.5" customHeight="1">
      <c r="C19" s="196"/>
      <c r="D19" s="200" t="s">
        <v>654</v>
      </c>
      <c r="E19" s="200"/>
      <c r="F19" s="199">
        <f>F18*F17</f>
        <v>48</v>
      </c>
      <c r="G19" s="197" t="s">
        <v>841</v>
      </c>
      <c r="H19" s="200" t="s">
        <v>679</v>
      </c>
      <c r="I19" s="199">
        <f>I17*I18</f>
        <v>24</v>
      </c>
      <c r="J19" s="198" t="s">
        <v>651</v>
      </c>
    </row>
    <row r="20" spans="3:10" ht="13.5" customHeight="1">
      <c r="C20" s="196"/>
      <c r="D20" s="200" t="s">
        <v>655</v>
      </c>
      <c r="E20" s="200"/>
      <c r="F20" s="212">
        <v>0.5</v>
      </c>
      <c r="G20" s="197" t="s">
        <v>651</v>
      </c>
      <c r="H20" s="197"/>
      <c r="I20" s="416" t="s">
        <v>678</v>
      </c>
      <c r="J20" s="417"/>
    </row>
    <row r="21" spans="3:10">
      <c r="C21" s="196"/>
      <c r="D21" s="200" t="s">
        <v>656</v>
      </c>
      <c r="E21" s="200"/>
      <c r="F21" s="212">
        <v>0.5</v>
      </c>
      <c r="G21" s="197" t="s">
        <v>651</v>
      </c>
      <c r="H21" s="197"/>
      <c r="I21" s="197"/>
      <c r="J21" s="198"/>
    </row>
    <row r="22" spans="3:10">
      <c r="C22" s="196"/>
      <c r="D22" s="200" t="s">
        <v>657</v>
      </c>
      <c r="E22" s="200"/>
      <c r="F22" s="199">
        <f>1+F17/F21</f>
        <v>17</v>
      </c>
      <c r="G22" s="197"/>
      <c r="H22" s="197"/>
      <c r="I22" s="197"/>
      <c r="J22" s="198"/>
    </row>
    <row r="23" spans="3:10">
      <c r="C23" s="196"/>
      <c r="D23" s="200" t="s">
        <v>658</v>
      </c>
      <c r="E23" s="200"/>
      <c r="F23" s="199">
        <f>1+F18/F20</f>
        <v>13</v>
      </c>
      <c r="G23" s="197"/>
      <c r="H23" s="197"/>
      <c r="I23" s="197"/>
      <c r="J23" s="198"/>
    </row>
    <row r="24" spans="3:10">
      <c r="C24" s="196"/>
      <c r="D24" s="200" t="s">
        <v>659</v>
      </c>
      <c r="E24" s="200"/>
      <c r="F24" s="199">
        <f>((F22*F17)+(F18*F23))</f>
        <v>214</v>
      </c>
      <c r="G24" s="197" t="s">
        <v>664</v>
      </c>
      <c r="H24" s="200" t="s">
        <v>668</v>
      </c>
      <c r="I24" s="201">
        <f>VLOOKUP(I20,Hoja6!A13:B15,2,FALSE)</f>
        <v>258.22719999999998</v>
      </c>
      <c r="J24" s="198" t="s">
        <v>651</v>
      </c>
    </row>
    <row r="25" spans="3:10">
      <c r="C25" s="196"/>
      <c r="D25" s="200" t="s">
        <v>660</v>
      </c>
      <c r="E25" s="200"/>
      <c r="F25" s="215">
        <v>0.4</v>
      </c>
      <c r="G25" s="197" t="s">
        <v>665</v>
      </c>
      <c r="H25" s="200" t="s">
        <v>669</v>
      </c>
      <c r="I25" s="199">
        <f>F24+I17*I18</f>
        <v>238</v>
      </c>
      <c r="J25" s="198" t="s">
        <v>651</v>
      </c>
    </row>
    <row r="26" spans="3:10">
      <c r="C26" s="196"/>
      <c r="D26" s="200" t="s">
        <v>830</v>
      </c>
      <c r="E26" s="197"/>
      <c r="F26" s="199">
        <f>F17+F17+F18+F18</f>
        <v>28</v>
      </c>
      <c r="G26" s="197"/>
      <c r="H26" s="197"/>
      <c r="I26" s="197"/>
      <c r="J26" s="198"/>
    </row>
    <row r="27" spans="3:10">
      <c r="C27" s="196"/>
      <c r="D27" s="197"/>
      <c r="E27" s="197"/>
      <c r="F27" s="197"/>
      <c r="G27" s="197"/>
      <c r="H27" s="197"/>
      <c r="I27" s="197"/>
      <c r="J27" s="198"/>
    </row>
    <row r="28" spans="3:10">
      <c r="C28" s="202"/>
      <c r="D28" s="203"/>
      <c r="E28" s="203"/>
      <c r="F28" s="203"/>
      <c r="G28" s="203"/>
      <c r="H28" s="203"/>
      <c r="I28" s="203"/>
      <c r="J28" s="204"/>
    </row>
    <row r="29" spans="3:10">
      <c r="C29" s="415" t="s">
        <v>684</v>
      </c>
      <c r="D29" s="415"/>
      <c r="E29" s="415"/>
      <c r="F29" s="415"/>
      <c r="G29" s="415"/>
      <c r="H29" s="415"/>
      <c r="I29" s="415"/>
      <c r="J29" s="415"/>
    </row>
    <row r="30" spans="3:10">
      <c r="C30" s="415"/>
      <c r="D30" s="415"/>
      <c r="E30" s="415"/>
      <c r="F30" s="415"/>
      <c r="G30" s="415"/>
      <c r="H30" s="415"/>
      <c r="I30" s="415"/>
      <c r="J30" s="415"/>
    </row>
    <row r="31" spans="3:10">
      <c r="C31" s="205"/>
      <c r="D31" s="206"/>
      <c r="E31" s="206"/>
      <c r="F31" s="206"/>
      <c r="G31" s="206"/>
      <c r="H31" s="206"/>
      <c r="I31" s="206"/>
      <c r="J31" s="207"/>
    </row>
    <row r="32" spans="3:10">
      <c r="C32" s="196"/>
      <c r="D32" s="197"/>
      <c r="E32" s="197"/>
      <c r="F32" s="197"/>
      <c r="G32" s="197"/>
      <c r="H32" s="197"/>
      <c r="I32" s="197"/>
      <c r="J32" s="198"/>
    </row>
    <row r="33" spans="3:10">
      <c r="C33" s="196"/>
      <c r="D33" s="200" t="s">
        <v>680</v>
      </c>
      <c r="E33" s="197">
        <v>0.5</v>
      </c>
      <c r="F33" s="197" t="s">
        <v>683</v>
      </c>
      <c r="G33" s="197"/>
      <c r="H33" s="197"/>
      <c r="I33" s="197"/>
      <c r="J33" s="198"/>
    </row>
    <row r="34" spans="3:10">
      <c r="C34" s="196"/>
      <c r="D34" s="200" t="s">
        <v>703</v>
      </c>
      <c r="E34" s="208">
        <f>IF(AH69=0,AH15,AH69)</f>
        <v>3600</v>
      </c>
      <c r="F34" s="197" t="s">
        <v>713</v>
      </c>
      <c r="G34" s="197"/>
      <c r="H34" s="197"/>
      <c r="I34" s="197"/>
      <c r="J34" s="198"/>
    </row>
    <row r="35" spans="3:10">
      <c r="C35" s="196"/>
      <c r="D35" s="197"/>
      <c r="E35" s="197"/>
      <c r="F35" s="197"/>
      <c r="G35" s="197"/>
      <c r="H35" s="197"/>
      <c r="I35" s="197"/>
      <c r="J35" s="198"/>
    </row>
    <row r="36" spans="3:10">
      <c r="C36" s="196"/>
      <c r="D36" s="197"/>
      <c r="E36" s="197"/>
      <c r="F36" s="197"/>
      <c r="G36" s="197"/>
      <c r="H36" s="197"/>
      <c r="I36" s="197"/>
      <c r="J36" s="198"/>
    </row>
    <row r="37" spans="3:10">
      <c r="C37" s="196"/>
      <c r="D37" s="197"/>
      <c r="E37" s="197"/>
      <c r="F37" s="197"/>
      <c r="G37" s="197"/>
      <c r="H37" s="197"/>
      <c r="I37" s="197"/>
      <c r="J37" s="198"/>
    </row>
    <row r="38" spans="3:10">
      <c r="C38" s="397" t="s">
        <v>714</v>
      </c>
      <c r="D38" s="398"/>
      <c r="E38" s="398"/>
      <c r="F38" s="398"/>
      <c r="G38" s="398"/>
      <c r="H38" s="398"/>
      <c r="I38" s="398"/>
      <c r="J38" s="399"/>
    </row>
    <row r="39" spans="3:10">
      <c r="C39" s="400"/>
      <c r="D39" s="401"/>
      <c r="E39" s="401"/>
      <c r="F39" s="401"/>
      <c r="G39" s="401"/>
      <c r="H39" s="401"/>
      <c r="I39" s="401"/>
      <c r="J39" s="402"/>
    </row>
    <row r="40" spans="3:10">
      <c r="C40" s="196"/>
      <c r="D40" s="197"/>
      <c r="E40" s="197"/>
      <c r="F40" s="197"/>
      <c r="G40" s="197"/>
      <c r="H40" s="197"/>
      <c r="I40" s="197"/>
      <c r="J40" s="198"/>
    </row>
    <row r="41" spans="3:10">
      <c r="C41" s="196"/>
      <c r="D41" s="200" t="s">
        <v>715</v>
      </c>
      <c r="E41" s="200" t="s">
        <v>626</v>
      </c>
      <c r="F41" s="197"/>
      <c r="G41" s="197"/>
      <c r="H41" s="197"/>
      <c r="I41" s="197"/>
      <c r="J41" s="198"/>
    </row>
    <row r="42" spans="3:10">
      <c r="C42" s="196"/>
      <c r="D42" s="200" t="s">
        <v>716</v>
      </c>
      <c r="E42" s="200">
        <f>VLOOKUP(E41,Hoja6!F4:L16,2,FALSE)</f>
        <v>97</v>
      </c>
      <c r="F42" s="197" t="s">
        <v>731</v>
      </c>
      <c r="G42" s="197"/>
      <c r="H42" s="197"/>
      <c r="I42" s="197"/>
      <c r="J42" s="198"/>
    </row>
    <row r="43" spans="3:10">
      <c r="C43" s="196"/>
      <c r="D43" s="200" t="s">
        <v>717</v>
      </c>
      <c r="E43" s="200">
        <f>VLOOKUP(E41,Hoja6!F4:L16,3,FALSE)</f>
        <v>3.81E-3</v>
      </c>
      <c r="F43" s="216" t="s">
        <v>732</v>
      </c>
      <c r="G43" s="197"/>
      <c r="H43" s="197"/>
      <c r="I43" s="197"/>
      <c r="J43" s="198"/>
    </row>
    <row r="44" spans="3:10">
      <c r="C44" s="196"/>
      <c r="D44" s="200" t="s">
        <v>718</v>
      </c>
      <c r="E44" s="200">
        <f>VLOOKUP(E41,Hoja6!F4:L16,4,FALSE)</f>
        <v>242</v>
      </c>
      <c r="F44" s="197"/>
      <c r="G44" s="197"/>
      <c r="H44" s="197"/>
      <c r="I44" s="197"/>
      <c r="J44" s="198"/>
    </row>
    <row r="45" spans="3:10">
      <c r="C45" s="196"/>
      <c r="D45" s="200" t="s">
        <v>719</v>
      </c>
      <c r="E45" s="200">
        <f>VLOOKUP(E41,Hoja6!F4:L16,5,FALSE)</f>
        <v>1084</v>
      </c>
      <c r="F45" s="197" t="s">
        <v>733</v>
      </c>
      <c r="G45" s="197"/>
      <c r="H45" s="197"/>
      <c r="I45" s="197"/>
      <c r="J45" s="198"/>
    </row>
    <row r="46" spans="3:10">
      <c r="C46" s="196"/>
      <c r="D46" s="200" t="s">
        <v>720</v>
      </c>
      <c r="E46" s="200">
        <f>VLOOKUP(E41,Hoja6!F4:L16,6,FALSE)</f>
        <v>1.78</v>
      </c>
      <c r="F46" s="197" t="s">
        <v>734</v>
      </c>
      <c r="G46" s="197"/>
      <c r="H46" s="197"/>
      <c r="I46" s="197"/>
      <c r="J46" s="198"/>
    </row>
    <row r="47" spans="3:10">
      <c r="C47" s="196"/>
      <c r="D47" s="200" t="s">
        <v>721</v>
      </c>
      <c r="E47" s="200">
        <f>VLOOKUP(E41,Hoja6!F4:L16,7,FALSE)</f>
        <v>3.42</v>
      </c>
      <c r="F47" s="216" t="s">
        <v>735</v>
      </c>
      <c r="G47" s="197"/>
      <c r="H47" s="197"/>
      <c r="I47" s="197"/>
      <c r="J47" s="198"/>
    </row>
    <row r="48" spans="3:10">
      <c r="C48" s="196"/>
      <c r="D48" s="200" t="s">
        <v>722</v>
      </c>
      <c r="E48" s="200" t="s">
        <v>675</v>
      </c>
      <c r="F48" s="197"/>
      <c r="G48" s="197"/>
      <c r="H48" s="197"/>
      <c r="I48" s="197"/>
      <c r="J48" s="198"/>
    </row>
    <row r="49" spans="3:37">
      <c r="C49" s="196"/>
      <c r="D49" s="200" t="s">
        <v>723</v>
      </c>
      <c r="E49" s="200">
        <f>VLOOKUP(E48,Hoja6!A8:B9,2,FALSE)</f>
        <v>450</v>
      </c>
      <c r="F49" s="197" t="s">
        <v>736</v>
      </c>
      <c r="G49" s="197"/>
      <c r="H49" s="197"/>
      <c r="I49" s="197"/>
      <c r="J49" s="198"/>
    </row>
    <row r="50" spans="3:37">
      <c r="C50" s="196"/>
      <c r="D50" s="200" t="s">
        <v>724</v>
      </c>
      <c r="E50" s="200">
        <v>30</v>
      </c>
      <c r="F50" s="197" t="s">
        <v>737</v>
      </c>
      <c r="G50" s="197"/>
      <c r="H50" s="197"/>
      <c r="I50" s="197"/>
      <c r="J50" s="198"/>
    </row>
    <row r="51" spans="3:37">
      <c r="C51" s="196"/>
      <c r="D51" s="200" t="s">
        <v>742</v>
      </c>
      <c r="E51" s="220">
        <f>VLOOKUP(E41,Hoja6!F4:M16,8,FALSE)</f>
        <v>7.06</v>
      </c>
      <c r="F51" s="197" t="s">
        <v>743</v>
      </c>
      <c r="G51" s="197"/>
      <c r="H51" s="197"/>
      <c r="I51" s="197"/>
      <c r="J51" s="198"/>
    </row>
    <row r="52" spans="3:37">
      <c r="C52" s="196"/>
      <c r="D52" s="200"/>
      <c r="E52" s="220">
        <f>(E34/1000)*E51*SQRT(E33)/1.9737</f>
        <v>9.1056523031044705</v>
      </c>
      <c r="F52" s="197"/>
      <c r="G52" s="197"/>
      <c r="H52" s="197"/>
      <c r="I52" s="197"/>
      <c r="J52" s="198"/>
    </row>
    <row r="53" spans="3:37">
      <c r="C53" s="196"/>
      <c r="D53" s="200" t="s">
        <v>725</v>
      </c>
      <c r="E53" s="220">
        <f>E34*197.4/(SQRT(E47/(E33*E43*E46)*LN((E44+E45)/(E44+E50))))/1000</f>
        <v>17.778701338829809</v>
      </c>
      <c r="F53" s="197" t="s">
        <v>738</v>
      </c>
      <c r="G53" s="197"/>
      <c r="H53" s="197"/>
      <c r="I53" s="197"/>
      <c r="J53" s="198"/>
    </row>
    <row r="54" spans="3:37">
      <c r="C54" s="196"/>
      <c r="D54" s="200" t="s">
        <v>726</v>
      </c>
      <c r="E54" s="220">
        <f>E53/1.9737</f>
        <v>9.0078032825808432</v>
      </c>
      <c r="F54" s="197" t="s">
        <v>739</v>
      </c>
      <c r="G54" s="197"/>
      <c r="H54" s="197"/>
      <c r="I54" s="197"/>
      <c r="J54" s="198"/>
    </row>
    <row r="55" spans="3:37">
      <c r="C55" s="196"/>
      <c r="D55" s="200" t="s">
        <v>727</v>
      </c>
      <c r="E55" s="220">
        <f>SQRT((E54*4)/PI())</f>
        <v>3.3866046935798599</v>
      </c>
      <c r="F55" s="197" t="s">
        <v>740</v>
      </c>
      <c r="G55" s="197"/>
      <c r="H55" s="197"/>
      <c r="I55" s="197"/>
      <c r="J55" s="198"/>
    </row>
    <row r="56" spans="3:37">
      <c r="C56" s="196"/>
      <c r="D56" s="217" t="s">
        <v>728</v>
      </c>
      <c r="E56" s="200" t="s">
        <v>757</v>
      </c>
      <c r="F56" s="218"/>
      <c r="G56" s="197"/>
      <c r="H56" s="197"/>
      <c r="I56" s="197"/>
      <c r="J56" s="198"/>
    </row>
    <row r="57" spans="3:37">
      <c r="C57" s="196"/>
      <c r="D57" s="200" t="s">
        <v>729</v>
      </c>
      <c r="E57" s="200">
        <f>(VLOOKUP(E56,Hoja6!P5:T33,3,FALSE))</f>
        <v>67.42</v>
      </c>
      <c r="F57" s="197" t="s">
        <v>739</v>
      </c>
      <c r="G57" s="197"/>
      <c r="H57" s="197"/>
      <c r="I57" s="197"/>
      <c r="J57" s="198"/>
    </row>
    <row r="58" spans="3:37">
      <c r="C58" s="196"/>
      <c r="D58" s="200" t="s">
        <v>730</v>
      </c>
      <c r="E58" s="200">
        <f>VLOOKUP(E56,Hoja6!P5:T33,5,FALSE)/1000</f>
        <v>9.2659999999999999E-3</v>
      </c>
      <c r="F58" s="197" t="s">
        <v>740</v>
      </c>
      <c r="G58" s="197"/>
      <c r="H58" s="197"/>
      <c r="I58" s="197"/>
      <c r="J58" s="198"/>
    </row>
    <row r="59" spans="3:37">
      <c r="C59" s="397" t="s">
        <v>835</v>
      </c>
      <c r="D59" s="398"/>
      <c r="E59" s="398"/>
      <c r="F59" s="398"/>
      <c r="G59" s="398"/>
      <c r="H59" s="398"/>
      <c r="I59" s="398"/>
      <c r="J59" s="399"/>
    </row>
    <row r="60" spans="3:37">
      <c r="C60" s="400"/>
      <c r="D60" s="401"/>
      <c r="E60" s="401"/>
      <c r="F60" s="401"/>
      <c r="G60" s="401"/>
      <c r="H60" s="401"/>
      <c r="I60" s="401"/>
      <c r="J60" s="402"/>
    </row>
    <row r="61" spans="3:37">
      <c r="C61" s="196"/>
      <c r="D61" s="197"/>
      <c r="E61" s="197"/>
      <c r="F61" s="197"/>
      <c r="G61" s="197"/>
      <c r="H61" s="197"/>
      <c r="I61" s="197"/>
      <c r="J61" s="198"/>
    </row>
    <row r="62" spans="3:37">
      <c r="C62" s="196"/>
      <c r="D62" s="197" t="s">
        <v>763</v>
      </c>
      <c r="E62" s="200">
        <v>50</v>
      </c>
      <c r="F62" s="197" t="s">
        <v>764</v>
      </c>
      <c r="G62" s="197"/>
      <c r="H62" s="197"/>
      <c r="I62" s="197"/>
      <c r="J62" s="198"/>
    </row>
    <row r="63" spans="3:37">
      <c r="C63" s="196"/>
      <c r="D63" s="200" t="s">
        <v>842</v>
      </c>
      <c r="E63" s="220">
        <f>VLOOKUP(E62,Hoja6!A2:C3,2,FALSE)</f>
        <v>3954.0736384754032</v>
      </c>
      <c r="F63" s="197" t="s">
        <v>10</v>
      </c>
      <c r="G63" s="197"/>
      <c r="H63" s="197"/>
      <c r="I63" s="197"/>
      <c r="J63" s="198"/>
      <c r="AG63" s="342" t="s">
        <v>702</v>
      </c>
      <c r="AH63" s="343"/>
      <c r="AI63" s="343"/>
      <c r="AJ63" s="343"/>
      <c r="AK63" s="344"/>
    </row>
    <row r="64" spans="3:37">
      <c r="C64" s="397" t="s">
        <v>836</v>
      </c>
      <c r="D64" s="398"/>
      <c r="E64" s="398"/>
      <c r="F64" s="398"/>
      <c r="G64" s="398"/>
      <c r="H64" s="398"/>
      <c r="I64" s="398"/>
      <c r="J64" s="399"/>
      <c r="AG64" s="380"/>
      <c r="AH64" s="381"/>
      <c r="AI64" s="381"/>
      <c r="AJ64" s="381"/>
      <c r="AK64" s="382"/>
    </row>
    <row r="65" spans="3:78">
      <c r="C65" s="400"/>
      <c r="D65" s="401"/>
      <c r="E65" s="401"/>
      <c r="F65" s="401"/>
      <c r="G65" s="401"/>
      <c r="H65" s="401"/>
      <c r="I65" s="401"/>
      <c r="J65" s="402"/>
      <c r="AG65" s="115"/>
      <c r="AH65" s="107"/>
      <c r="AI65" s="108"/>
      <c r="AJ65" s="110"/>
      <c r="AK65" s="111"/>
    </row>
    <row r="66" spans="3:78">
      <c r="C66" s="196"/>
      <c r="D66" s="197"/>
      <c r="E66" s="197"/>
      <c r="F66" s="197"/>
      <c r="G66" s="197"/>
      <c r="H66" s="197"/>
      <c r="I66" s="197"/>
      <c r="J66" s="198"/>
      <c r="AG66" s="115"/>
      <c r="AH66" s="120">
        <v>1200</v>
      </c>
      <c r="AI66" s="108" t="s">
        <v>704</v>
      </c>
      <c r="AJ66" s="110"/>
      <c r="AK66" s="111"/>
    </row>
    <row r="67" spans="3:78">
      <c r="C67" s="196"/>
      <c r="D67" s="200" t="s">
        <v>834</v>
      </c>
      <c r="E67" s="209">
        <f>VLOOKUP(E62,Hoja6!A2:C3,3,FALSE)</f>
        <v>1111.55498954531</v>
      </c>
      <c r="F67" s="197" t="s">
        <v>10</v>
      </c>
      <c r="G67" s="197"/>
      <c r="H67" s="197"/>
      <c r="I67" s="197"/>
      <c r="J67" s="198"/>
      <c r="AG67" s="115"/>
      <c r="AH67" s="107"/>
      <c r="AI67" s="108"/>
      <c r="AJ67" s="110"/>
      <c r="AK67" s="111"/>
    </row>
    <row r="68" spans="3:78">
      <c r="C68" s="397" t="s">
        <v>775</v>
      </c>
      <c r="D68" s="398"/>
      <c r="E68" s="398"/>
      <c r="F68" s="398"/>
      <c r="G68" s="398"/>
      <c r="H68" s="398"/>
      <c r="I68" s="398"/>
      <c r="J68" s="399"/>
      <c r="AG68" s="115"/>
      <c r="AH68" s="107"/>
      <c r="AI68" s="108"/>
      <c r="AJ68" s="110"/>
      <c r="AK68" s="111"/>
    </row>
    <row r="69" spans="3:78">
      <c r="C69" s="400"/>
      <c r="D69" s="401"/>
      <c r="E69" s="401"/>
      <c r="F69" s="401"/>
      <c r="G69" s="401"/>
      <c r="H69" s="401"/>
      <c r="I69" s="401"/>
      <c r="J69" s="402"/>
      <c r="AG69" s="115"/>
      <c r="AH69" s="107">
        <f>AH66*3</f>
        <v>3600</v>
      </c>
      <c r="AI69" s="119" t="s">
        <v>705</v>
      </c>
      <c r="AJ69" s="110"/>
      <c r="AK69" s="126" t="s">
        <v>706</v>
      </c>
    </row>
    <row r="70" spans="3:78">
      <c r="C70" s="196"/>
      <c r="D70" s="197"/>
      <c r="E70" s="197"/>
      <c r="F70" s="197"/>
      <c r="G70" s="197"/>
      <c r="H70" s="197"/>
      <c r="I70" s="197"/>
      <c r="J70" s="198"/>
      <c r="AG70" s="115"/>
      <c r="AH70" s="107"/>
      <c r="AI70" s="108"/>
      <c r="AJ70" s="110"/>
      <c r="AK70" s="111"/>
    </row>
    <row r="71" spans="3:78">
      <c r="C71" s="196"/>
      <c r="D71" s="200" t="s">
        <v>776</v>
      </c>
      <c r="E71" s="209">
        <f>F9*((1/F24)+((1/SQRT(20*F19))*(1+(1/(1+(F25*SQRT(20/F19)))))))</f>
        <v>1.1806245978921408</v>
      </c>
      <c r="F71" s="197" t="s">
        <v>777</v>
      </c>
      <c r="G71" s="197"/>
      <c r="H71" s="197"/>
      <c r="I71" s="197"/>
      <c r="J71" s="198"/>
      <c r="AG71" s="116"/>
      <c r="AH71" s="118"/>
      <c r="AI71" s="117"/>
      <c r="AJ71" s="113"/>
      <c r="AK71" s="114"/>
    </row>
    <row r="72" spans="3:78">
      <c r="C72" s="196"/>
      <c r="D72" s="197"/>
      <c r="E72" s="197"/>
      <c r="F72" s="197"/>
      <c r="G72" s="197"/>
      <c r="H72" s="197"/>
      <c r="I72" s="197"/>
      <c r="J72" s="198"/>
    </row>
    <row r="73" spans="3:78">
      <c r="C73" s="397" t="s">
        <v>778</v>
      </c>
      <c r="D73" s="398"/>
      <c r="E73" s="398"/>
      <c r="F73" s="398"/>
      <c r="G73" s="398"/>
      <c r="H73" s="398"/>
      <c r="I73" s="398"/>
      <c r="J73" s="399"/>
    </row>
    <row r="74" spans="3:78">
      <c r="C74" s="400"/>
      <c r="D74" s="401"/>
      <c r="E74" s="401"/>
      <c r="F74" s="401"/>
      <c r="G74" s="401"/>
      <c r="H74" s="401"/>
      <c r="I74" s="401"/>
      <c r="J74" s="402"/>
    </row>
    <row r="75" spans="3:78">
      <c r="C75" s="196"/>
      <c r="D75" s="200" t="s">
        <v>779</v>
      </c>
      <c r="E75" s="221">
        <f>AI88*1000</f>
        <v>1534.4116509407097</v>
      </c>
      <c r="F75" s="197" t="s">
        <v>780</v>
      </c>
      <c r="G75" s="197"/>
      <c r="H75" s="197"/>
      <c r="I75" s="219" t="s">
        <v>781</v>
      </c>
      <c r="J75" s="198"/>
    </row>
    <row r="76" spans="3:78">
      <c r="C76" s="196"/>
      <c r="D76" s="197"/>
      <c r="E76" s="200"/>
      <c r="F76" s="197"/>
      <c r="G76" s="197"/>
      <c r="H76" s="197"/>
      <c r="I76" s="197"/>
      <c r="J76" s="198"/>
    </row>
    <row r="77" spans="3:78">
      <c r="C77" s="196"/>
      <c r="D77" s="200" t="s">
        <v>798</v>
      </c>
      <c r="E77" s="200">
        <f>E75*E71</f>
        <v>1811.5641383928912</v>
      </c>
      <c r="F77" s="197" t="s">
        <v>799</v>
      </c>
      <c r="G77" s="197"/>
      <c r="H77" s="197"/>
      <c r="I77" s="197"/>
      <c r="J77" s="198"/>
    </row>
    <row r="78" spans="3:78">
      <c r="C78" s="196"/>
      <c r="D78" s="197"/>
      <c r="E78" s="197"/>
      <c r="F78" s="197"/>
      <c r="G78" s="197"/>
      <c r="H78" s="197"/>
      <c r="I78" s="197"/>
      <c r="J78" s="198"/>
    </row>
    <row r="79" spans="3:78" ht="15.75" thickBot="1">
      <c r="C79" s="397" t="s">
        <v>833</v>
      </c>
      <c r="D79" s="398"/>
      <c r="E79" s="398"/>
      <c r="F79" s="398"/>
      <c r="G79" s="398"/>
      <c r="H79" s="398"/>
      <c r="I79" s="398"/>
      <c r="J79" s="399"/>
      <c r="BW79" s="109"/>
      <c r="BX79" s="160">
        <v>0.81699999999999995</v>
      </c>
      <c r="BY79" s="110" t="s">
        <v>793</v>
      </c>
      <c r="BZ79" s="111"/>
    </row>
    <row r="80" spans="3:78" ht="18.75" thickBot="1">
      <c r="C80" s="400"/>
      <c r="D80" s="401"/>
      <c r="E80" s="401"/>
      <c r="F80" s="401"/>
      <c r="G80" s="401"/>
      <c r="H80" s="401"/>
      <c r="I80" s="401"/>
      <c r="J80" s="402"/>
      <c r="AH80" s="403" t="s">
        <v>782</v>
      </c>
      <c r="AI80" s="404"/>
      <c r="AJ80" s="404"/>
      <c r="AK80" s="404"/>
      <c r="AL80" s="405"/>
      <c r="BW80" s="109"/>
      <c r="BX80" s="160">
        <v>0.16</v>
      </c>
      <c r="BY80" s="110" t="s">
        <v>794</v>
      </c>
      <c r="BZ80" s="111"/>
    </row>
    <row r="81" spans="3:78">
      <c r="C81" s="196"/>
      <c r="D81" s="197"/>
      <c r="E81" s="197"/>
      <c r="F81" s="197"/>
      <c r="G81" s="197"/>
      <c r="H81" s="197"/>
      <c r="I81" s="197"/>
      <c r="J81" s="198"/>
      <c r="AH81" s="150"/>
      <c r="AI81" s="144"/>
      <c r="AJ81" s="144"/>
      <c r="AK81" s="144"/>
      <c r="AL81" s="145"/>
      <c r="BW81" s="109"/>
      <c r="BX81" s="160"/>
      <c r="BY81" s="110"/>
      <c r="BZ81" s="111"/>
    </row>
    <row r="82" spans="3:78">
      <c r="C82" s="196"/>
      <c r="D82" s="200" t="s">
        <v>801</v>
      </c>
      <c r="E82" s="197" t="s">
        <v>678</v>
      </c>
      <c r="F82" s="197"/>
      <c r="G82" s="197"/>
      <c r="H82" s="197"/>
      <c r="I82" s="197"/>
      <c r="J82" s="198"/>
      <c r="AH82" s="151" t="s">
        <v>681</v>
      </c>
      <c r="AI82" s="152">
        <f>E34</f>
        <v>3600</v>
      </c>
      <c r="AJ82" s="129" t="s">
        <v>783</v>
      </c>
      <c r="AL82" s="146"/>
      <c r="BW82" s="109"/>
      <c r="BX82" s="160" t="str">
        <f>COMPLEX(BX79,BX80)</f>
        <v>0.817+0.16i</v>
      </c>
      <c r="BY82" s="110" t="s">
        <v>795</v>
      </c>
      <c r="BZ82" s="111"/>
    </row>
    <row r="83" spans="3:78">
      <c r="C83" s="196"/>
      <c r="D83" s="197"/>
      <c r="E83" s="199">
        <f>VLOOKUP(E82,Hoja6!A13:C14,3,FALSE)</f>
        <v>1</v>
      </c>
      <c r="F83" s="197"/>
      <c r="G83" s="197"/>
      <c r="H83" s="197"/>
      <c r="I83" s="197"/>
      <c r="J83" s="198"/>
      <c r="AH83" s="151" t="s">
        <v>680</v>
      </c>
      <c r="AI83" s="149">
        <f>E33</f>
        <v>0.5</v>
      </c>
      <c r="AJ83" s="129" t="s">
        <v>784</v>
      </c>
      <c r="AL83" s="146"/>
      <c r="BW83" s="109"/>
      <c r="BX83" s="161" t="str">
        <f>COMPLEX(E71,0)</f>
        <v>1.18062459789214</v>
      </c>
      <c r="BY83" s="110" t="s">
        <v>776</v>
      </c>
      <c r="BZ83" s="111"/>
    </row>
    <row r="84" spans="3:78">
      <c r="C84" s="196"/>
      <c r="D84" s="200" t="s">
        <v>803</v>
      </c>
      <c r="E84" s="199">
        <f>0.644+(0.148*E85)</f>
        <v>2.9179775026581978</v>
      </c>
      <c r="F84" s="197"/>
      <c r="G84" s="197"/>
      <c r="H84" s="197"/>
      <c r="I84" s="197"/>
      <c r="J84" s="198"/>
      <c r="AH84" s="151" t="s">
        <v>785</v>
      </c>
      <c r="AI84" s="70" t="s">
        <v>642</v>
      </c>
      <c r="AJ84" s="129" t="s">
        <v>786</v>
      </c>
      <c r="AL84" s="146"/>
      <c r="BW84" s="109"/>
      <c r="BX84" s="160"/>
      <c r="BY84" s="110"/>
      <c r="BZ84" s="111"/>
    </row>
    <row r="85" spans="3:78">
      <c r="C85" s="196"/>
      <c r="D85" s="200" t="s">
        <v>823</v>
      </c>
      <c r="E85" s="199">
        <f>((2*F24)/F26)*(SQRT((F26/(4*SQRT(F19)))))</f>
        <v>15.364712855798635</v>
      </c>
      <c r="F85" s="197"/>
      <c r="G85" s="197"/>
      <c r="H85" s="197"/>
      <c r="I85" s="197"/>
      <c r="J85" s="198"/>
      <c r="AH85" s="151" t="s">
        <v>787</v>
      </c>
      <c r="AI85" s="149">
        <f>VLOOKUP(AI83,Hoja6!F21:K29,MATCH('Mallas Cuadradas o Rectangulare'!AI84,Hoja6!H20:K20,0)+2,FALSE)</f>
        <v>1.026</v>
      </c>
      <c r="AJ85" s="129" t="s">
        <v>639</v>
      </c>
      <c r="AL85" s="146"/>
      <c r="BW85" s="109"/>
      <c r="BX85" s="162">
        <f>IMABS(IMDIV(BX82,IMSUM(BX82,BX83)))</f>
        <v>0.41542442358152204</v>
      </c>
      <c r="BY85" s="163" t="s">
        <v>796</v>
      </c>
      <c r="BZ85" s="126" t="s">
        <v>840</v>
      </c>
    </row>
    <row r="86" spans="3:78">
      <c r="C86" s="196"/>
      <c r="D86" s="200" t="s">
        <v>831</v>
      </c>
      <c r="E86" s="199">
        <f>(1/2*PI())*(((LN(((F20*F20)/(16*F25*E58))+((POWER(F20+(2*F25),2))/(8*F20*E58))-((F25)/(4*E58)))))+((E83/E87)*(LN((8)/(PI()*(2*E85-1))))))</f>
        <v>2.4931355316177704</v>
      </c>
      <c r="F86" s="197"/>
      <c r="G86" s="197"/>
      <c r="H86" s="197"/>
      <c r="I86" s="197"/>
      <c r="J86" s="198"/>
      <c r="AH86" s="151" t="s">
        <v>788</v>
      </c>
      <c r="AI86" s="153">
        <f>BX85</f>
        <v>0.41542442358152204</v>
      </c>
      <c r="AJ86" s="129" t="s">
        <v>789</v>
      </c>
      <c r="AL86" s="159" t="s">
        <v>792</v>
      </c>
      <c r="BW86" s="112"/>
      <c r="BX86" s="143"/>
      <c r="BY86" s="113"/>
      <c r="BZ86" s="114"/>
    </row>
    <row r="87" spans="3:78" ht="15.75" thickBot="1">
      <c r="C87" s="196"/>
      <c r="D87" s="200" t="s">
        <v>832</v>
      </c>
      <c r="E87" s="199">
        <f>SQRT(1+F25)</f>
        <v>1.1832159566199232</v>
      </c>
      <c r="F87" s="197"/>
      <c r="G87" s="197"/>
      <c r="H87" s="197"/>
      <c r="I87" s="197"/>
      <c r="J87" s="198"/>
      <c r="AH87" s="154"/>
      <c r="AI87" s="129"/>
      <c r="AJ87" s="129"/>
      <c r="AL87" s="146"/>
    </row>
    <row r="88" spans="3:78" ht="15" customHeight="1">
      <c r="C88" s="196"/>
      <c r="D88" s="200"/>
      <c r="E88" s="197"/>
      <c r="F88" s="197"/>
      <c r="G88" s="197"/>
      <c r="H88" s="197"/>
      <c r="I88" s="197"/>
      <c r="J88" s="198"/>
      <c r="AH88" s="155" t="s">
        <v>790</v>
      </c>
      <c r="AI88" s="164">
        <f>AI82*AI85*AI86/1000</f>
        <v>1.5344116509407097</v>
      </c>
      <c r="AJ88" s="130" t="s">
        <v>791</v>
      </c>
      <c r="AK88" s="156" t="s">
        <v>706</v>
      </c>
      <c r="AL88" s="146"/>
      <c r="BW88" s="406" t="s">
        <v>797</v>
      </c>
      <c r="BX88" s="407"/>
      <c r="BY88" s="407"/>
      <c r="BZ88" s="408"/>
    </row>
    <row r="89" spans="3:78" ht="15.75" thickBot="1">
      <c r="C89" s="196"/>
      <c r="D89" s="210" t="s">
        <v>800</v>
      </c>
      <c r="E89" s="211">
        <f>(F9*E75*E86*E84)/(F24+(1.55+(((1.22)*(I18/(SQRT((F17*F17)+(F18*F18))))))*(I17*I18)))</f>
        <v>945.86842608027666</v>
      </c>
      <c r="F89" s="197" t="s">
        <v>10</v>
      </c>
      <c r="G89" s="197" t="str">
        <f>IF(E89&lt;E67,"EL SISTEMA CUMPLE","EL SISTEMA NO CUMPLE")</f>
        <v>EL SISTEMA CUMPLE</v>
      </c>
      <c r="H89" s="197"/>
      <c r="I89" s="197"/>
      <c r="J89" s="198"/>
      <c r="AH89" s="157"/>
      <c r="AI89" s="158"/>
      <c r="AJ89" s="158"/>
      <c r="AK89" s="147"/>
      <c r="AL89" s="148"/>
      <c r="BW89" s="409"/>
      <c r="BX89" s="410"/>
      <c r="BY89" s="410"/>
      <c r="BZ89" s="411"/>
    </row>
    <row r="90" spans="3:78">
      <c r="C90" s="202"/>
      <c r="D90" s="203"/>
      <c r="E90" s="203"/>
      <c r="F90" s="203"/>
      <c r="G90" s="203"/>
      <c r="H90" s="203"/>
      <c r="I90" s="203"/>
      <c r="J90" s="204"/>
      <c r="BW90" s="409"/>
      <c r="BX90" s="410"/>
      <c r="BY90" s="410"/>
      <c r="BZ90" s="411"/>
    </row>
    <row r="91" spans="3:78">
      <c r="C91" s="397" t="s">
        <v>838</v>
      </c>
      <c r="D91" s="398"/>
      <c r="E91" s="398"/>
      <c r="F91" s="398"/>
      <c r="G91" s="398"/>
      <c r="H91" s="398"/>
      <c r="I91" s="398"/>
      <c r="J91" s="399"/>
      <c r="BW91" s="409"/>
      <c r="BX91" s="410"/>
      <c r="BY91" s="410"/>
      <c r="BZ91" s="411"/>
    </row>
    <row r="92" spans="3:78">
      <c r="C92" s="400"/>
      <c r="D92" s="401"/>
      <c r="E92" s="401"/>
      <c r="F92" s="401"/>
      <c r="G92" s="401"/>
      <c r="H92" s="401"/>
      <c r="I92" s="401"/>
      <c r="J92" s="402"/>
      <c r="BW92" s="409"/>
      <c r="BX92" s="410"/>
      <c r="BY92" s="410"/>
      <c r="BZ92" s="411"/>
    </row>
    <row r="93" spans="3:78">
      <c r="C93" s="196"/>
      <c r="D93" s="197"/>
      <c r="E93" s="197"/>
      <c r="F93" s="197"/>
      <c r="G93" s="197"/>
      <c r="H93" s="197"/>
      <c r="I93" s="197"/>
      <c r="J93" s="198"/>
      <c r="BW93" s="409"/>
      <c r="BX93" s="410"/>
      <c r="BY93" s="410"/>
      <c r="BZ93" s="411"/>
    </row>
    <row r="94" spans="3:78">
      <c r="C94" s="196"/>
      <c r="D94" s="200" t="s">
        <v>837</v>
      </c>
      <c r="E94" s="197">
        <f>((1/PI())*((1/(2*F25))+(1/(F20+F25))+((1/F20)*(1-POWER(0.5,E85-2)))))</f>
        <v>1.3881244281614922</v>
      </c>
      <c r="F94" s="197"/>
      <c r="G94" s="197"/>
      <c r="H94" s="197"/>
      <c r="I94" s="197"/>
      <c r="J94" s="198"/>
      <c r="BW94" s="409"/>
      <c r="BX94" s="410"/>
      <c r="BY94" s="410"/>
      <c r="BZ94" s="411"/>
    </row>
    <row r="95" spans="3:78" ht="15.75" thickBot="1">
      <c r="C95" s="196"/>
      <c r="D95" s="197"/>
      <c r="E95" s="197"/>
      <c r="F95" s="197"/>
      <c r="G95" s="197"/>
      <c r="H95" s="197"/>
      <c r="I95" s="197"/>
      <c r="J95" s="198"/>
      <c r="BW95" s="412"/>
      <c r="BX95" s="413"/>
      <c r="BY95" s="413"/>
      <c r="BZ95" s="414"/>
    </row>
    <row r="96" spans="3:78">
      <c r="C96" s="196"/>
      <c r="D96" s="210" t="s">
        <v>839</v>
      </c>
      <c r="E96" s="211">
        <f>IF(E89&lt;E67,(F9*E75*E94*E84)/((0.75*F24)+(0.85*I19)),"EL SISTEMA NO CUMPLE")</f>
        <v>647.97066547508803</v>
      </c>
      <c r="F96" s="197" t="s">
        <v>10</v>
      </c>
      <c r="G96" s="197"/>
      <c r="H96" s="197"/>
      <c r="I96" s="197"/>
      <c r="J96" s="198"/>
    </row>
    <row r="97" spans="3:10">
      <c r="C97" s="196"/>
      <c r="D97" s="197"/>
      <c r="E97" s="197"/>
      <c r="F97" s="197"/>
      <c r="G97" s="197"/>
      <c r="H97" s="197"/>
      <c r="I97" s="197"/>
      <c r="J97" s="198"/>
    </row>
    <row r="98" spans="3:10">
      <c r="C98" s="196"/>
      <c r="D98" s="197"/>
      <c r="E98" s="197"/>
      <c r="F98" s="197"/>
      <c r="G98" s="197"/>
      <c r="H98" s="197"/>
      <c r="I98" s="197"/>
      <c r="J98" s="198"/>
    </row>
    <row r="99" spans="3:10">
      <c r="C99" s="388" t="str">
        <f>IF(E96&lt;E63,"EL SISTEMA CUMPLE","EL SISTEMA NO CUMPLE")</f>
        <v>EL SISTEMA CUMPLE</v>
      </c>
      <c r="D99" s="389"/>
      <c r="E99" s="389"/>
      <c r="F99" s="389"/>
      <c r="G99" s="389"/>
      <c r="H99" s="389"/>
      <c r="I99" s="389"/>
      <c r="J99" s="390"/>
    </row>
    <row r="100" spans="3:10">
      <c r="C100" s="391"/>
      <c r="D100" s="392"/>
      <c r="E100" s="392"/>
      <c r="F100" s="392"/>
      <c r="G100" s="392"/>
      <c r="H100" s="392"/>
      <c r="I100" s="392"/>
      <c r="J100" s="393"/>
    </row>
    <row r="101" spans="3:10">
      <c r="C101" s="394"/>
      <c r="D101" s="395"/>
      <c r="E101" s="395"/>
      <c r="F101" s="395"/>
      <c r="G101" s="395"/>
      <c r="H101" s="395"/>
      <c r="I101" s="395"/>
      <c r="J101" s="396"/>
    </row>
  </sheetData>
  <mergeCells count="16">
    <mergeCell ref="C5:J7"/>
    <mergeCell ref="C14:J15"/>
    <mergeCell ref="I20:J20"/>
    <mergeCell ref="C29:J30"/>
    <mergeCell ref="AG63:AK64"/>
    <mergeCell ref="AG4:AM5"/>
    <mergeCell ref="C38:J39"/>
    <mergeCell ref="C59:J60"/>
    <mergeCell ref="C64:J65"/>
    <mergeCell ref="C99:J101"/>
    <mergeCell ref="C68:J69"/>
    <mergeCell ref="C73:J74"/>
    <mergeCell ref="AH80:AL80"/>
    <mergeCell ref="BW88:BZ95"/>
    <mergeCell ref="C79:J80"/>
    <mergeCell ref="C91:J92"/>
  </mergeCells>
  <conditionalFormatting sqref="D57:D58">
    <cfRule type="expression" dxfId="1" priority="2" stopIfTrue="1">
      <formula>$E$46&lt;$E$43</formula>
    </cfRule>
  </conditionalFormatting>
  <conditionalFormatting sqref="F57:F58">
    <cfRule type="expression" dxfId="0" priority="1" stopIfTrue="1">
      <formula>$E$46&lt;$E$43</formula>
    </cfRule>
  </conditionalFormatting>
  <hyperlinks>
    <hyperlink ref="AK69" location="'Mallas Cuadradas o Rectangulare'!A27" display="Volver" xr:uid="{00000000-0004-0000-1000-000000000000}"/>
    <hyperlink ref="AK15" location="'Mallas Cuadradas o Rectangulare'!A27" display="Volver" xr:uid="{00000000-0004-0000-1000-000001000000}"/>
    <hyperlink ref="AK88" location="'Mallas Cuadradas o Rectangulare'!E65" display="Volver" xr:uid="{00000000-0004-0000-1000-000002000000}"/>
    <hyperlink ref="AL86" location="'Mallas Cuadradas o Rectangulare'!BX93" display="Calcular" xr:uid="{00000000-0004-0000-1000-000003000000}"/>
    <hyperlink ref="I75" location="'Mallas Cuadradas o Rectangulare'!AI82" display="CALCULAR" xr:uid="{00000000-0004-0000-1000-000004000000}"/>
    <hyperlink ref="BZ85" location="'Mallas Cuadradas o Rectangulare'!AI82" display="VOLVER" xr:uid="{00000000-0004-0000-1000-000005000000}"/>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7" r:id="rId4" name="Group Box 5">
              <controlPr defaultSize="0" autoFill="0" autoPict="0">
                <anchor moveWithCells="1">
                  <from>
                    <xdr:col>7</xdr:col>
                    <xdr:colOff>447675</xdr:colOff>
                    <xdr:row>31</xdr:row>
                    <xdr:rowOff>47625</xdr:rowOff>
                  </from>
                  <to>
                    <xdr:col>9</xdr:col>
                    <xdr:colOff>123825</xdr:colOff>
                    <xdr:row>36</xdr:row>
                    <xdr:rowOff>114300</xdr:rowOff>
                  </to>
                </anchor>
              </controlPr>
            </control>
          </mc:Choice>
        </mc:AlternateContent>
        <mc:AlternateContent xmlns:mc="http://schemas.openxmlformats.org/markup-compatibility/2006">
          <mc:Choice Requires="x14">
            <control shapeId="13318" r:id="rId5" name="Check Box 6">
              <controlPr defaultSize="0" autoFill="0" autoLine="0" autoPict="0" macro="[0]!Casilla6_Haga_clic_en">
                <anchor moveWithCells="1">
                  <from>
                    <xdr:col>7</xdr:col>
                    <xdr:colOff>647700</xdr:colOff>
                    <xdr:row>32</xdr:row>
                    <xdr:rowOff>95250</xdr:rowOff>
                  </from>
                  <to>
                    <xdr:col>8</xdr:col>
                    <xdr:colOff>942975</xdr:colOff>
                    <xdr:row>33</xdr:row>
                    <xdr:rowOff>123825</xdr:rowOff>
                  </to>
                </anchor>
              </controlPr>
            </control>
          </mc:Choice>
        </mc:AlternateContent>
        <mc:AlternateContent xmlns:mc="http://schemas.openxmlformats.org/markup-compatibility/2006">
          <mc:Choice Requires="x14">
            <control shapeId="13319" r:id="rId6" name="Check Box 7">
              <controlPr defaultSize="0" autoFill="0" autoLine="0" autoPict="0" macro="[0]!Casilla7_Haga_clic_en">
                <anchor moveWithCells="1">
                  <from>
                    <xdr:col>7</xdr:col>
                    <xdr:colOff>647700</xdr:colOff>
                    <xdr:row>34</xdr:row>
                    <xdr:rowOff>28575</xdr:rowOff>
                  </from>
                  <to>
                    <xdr:col>8</xdr:col>
                    <xdr:colOff>942975</xdr:colOff>
                    <xdr:row>35</xdr:row>
                    <xdr:rowOff>57150</xdr:rowOff>
                  </to>
                </anchor>
              </controlPr>
            </control>
          </mc:Choice>
        </mc:AlternateContent>
        <mc:AlternateContent xmlns:mc="http://schemas.openxmlformats.org/markup-compatibility/2006">
          <mc:Choice Requires="x14">
            <control shapeId="13321" r:id="rId7" name="Group Box 9">
              <controlPr defaultSize="0" autoFill="0" autoPict="0">
                <anchor moveWithCells="1">
                  <from>
                    <xdr:col>37</xdr:col>
                    <xdr:colOff>0</xdr:colOff>
                    <xdr:row>6</xdr:row>
                    <xdr:rowOff>152400</xdr:rowOff>
                  </from>
                  <to>
                    <xdr:col>38</xdr:col>
                    <xdr:colOff>609600</xdr:colOff>
                    <xdr:row>11</xdr:row>
                    <xdr:rowOff>85725</xdr:rowOff>
                  </to>
                </anchor>
              </controlPr>
            </control>
          </mc:Choice>
        </mc:AlternateContent>
        <mc:AlternateContent xmlns:mc="http://schemas.openxmlformats.org/markup-compatibility/2006">
          <mc:Choice Requires="x14">
            <control shapeId="13326" r:id="rId8" name="Option Button 14">
              <controlPr defaultSize="0" autoFill="0" autoLine="0" autoPict="0">
                <anchor moveWithCells="1">
                  <from>
                    <xdr:col>37</xdr:col>
                    <xdr:colOff>190500</xdr:colOff>
                    <xdr:row>9</xdr:row>
                    <xdr:rowOff>123825</xdr:rowOff>
                  </from>
                  <to>
                    <xdr:col>38</xdr:col>
                    <xdr:colOff>238125</xdr:colOff>
                    <xdr:row>10</xdr:row>
                    <xdr:rowOff>152400</xdr:rowOff>
                  </to>
                </anchor>
              </controlPr>
            </control>
          </mc:Choice>
        </mc:AlternateContent>
        <mc:AlternateContent xmlns:mc="http://schemas.openxmlformats.org/markup-compatibility/2006">
          <mc:Choice Requires="x14">
            <control shapeId="13327" r:id="rId9" name="Option Button 15">
              <controlPr defaultSize="0" autoFill="0" autoLine="0" autoPict="0">
                <anchor moveWithCells="1">
                  <from>
                    <xdr:col>37</xdr:col>
                    <xdr:colOff>209550</xdr:colOff>
                    <xdr:row>8</xdr:row>
                    <xdr:rowOff>47625</xdr:rowOff>
                  </from>
                  <to>
                    <xdr:col>38</xdr:col>
                    <xdr:colOff>257175</xdr:colOff>
                    <xdr:row>9</xdr:row>
                    <xdr:rowOff>76200</xdr:rowOff>
                  </to>
                </anchor>
              </controlPr>
            </control>
          </mc:Choice>
        </mc:AlternateContent>
        <mc:AlternateContent xmlns:mc="http://schemas.openxmlformats.org/markup-compatibility/2006">
          <mc:Choice Requires="x14">
            <control shapeId="13331" r:id="rId10" name="Scroll Bar 19">
              <controlPr defaultSize="0" autoPict="0">
                <anchor moveWithCells="1">
                  <from>
                    <xdr:col>3</xdr:col>
                    <xdr:colOff>171450</xdr:colOff>
                    <xdr:row>9</xdr:row>
                    <xdr:rowOff>19050</xdr:rowOff>
                  </from>
                  <to>
                    <xdr:col>4</xdr:col>
                    <xdr:colOff>571500</xdr:colOff>
                    <xdr:row>10</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1000-000000000000}">
          <x14:formula1>
            <xm:f>Hoja6!$A$13:$A$14</xm:f>
          </x14:formula1>
          <xm:sqref>I20 E82</xm:sqref>
        </x14:dataValidation>
        <x14:dataValidation type="list" allowBlank="1" showInputMessage="1" showErrorMessage="1" xr:uid="{00000000-0002-0000-1000-000001000000}">
          <x14:formula1>
            <xm:f>Hoja6!$F$21:$F$29</xm:f>
          </x14:formula1>
          <xm:sqref>E33</xm:sqref>
        </x14:dataValidation>
        <x14:dataValidation type="list" allowBlank="1" showInputMessage="1" showErrorMessage="1" xr:uid="{00000000-0002-0000-1000-000002000000}">
          <x14:formula1>
            <xm:f>Hoja6!$F$4:$F$16</xm:f>
          </x14:formula1>
          <xm:sqref>E41</xm:sqref>
        </x14:dataValidation>
        <x14:dataValidation type="list" allowBlank="1" showInputMessage="1" showErrorMessage="1" xr:uid="{00000000-0002-0000-1000-000003000000}">
          <x14:formula1>
            <xm:f>Hoja6!$A$8:$A$9</xm:f>
          </x14:formula1>
          <xm:sqref>E48</xm:sqref>
        </x14:dataValidation>
        <x14:dataValidation type="list" allowBlank="1" showInputMessage="1" showErrorMessage="1" xr:uid="{00000000-0002-0000-1000-000004000000}">
          <x14:formula1>
            <xm:f>Hoja6!$A$2:$A$3</xm:f>
          </x14:formula1>
          <xm:sqref>E62</xm:sqref>
        </x14:dataValidation>
        <x14:dataValidation type="list" allowBlank="1" showInputMessage="1" showErrorMessage="1" xr:uid="{00000000-0002-0000-1000-000005000000}">
          <x14:formula1>
            <xm:f>Hoja6!$H$20:$K$20</xm:f>
          </x14:formula1>
          <xm:sqref>AI84</xm:sqref>
        </x14:dataValidation>
        <x14:dataValidation type="list" allowBlank="1" showInputMessage="1" showErrorMessage="1" xr:uid="{00000000-0002-0000-1000-000006000000}">
          <x14:formula1>
            <xm:f>Hoja6!$P$5:$P$33</xm:f>
          </x14:formula1>
          <xm:sqref>E56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B2:O13"/>
  <sheetViews>
    <sheetView topLeftCell="A4" workbookViewId="0">
      <selection activeCell="F2" sqref="F2"/>
    </sheetView>
  </sheetViews>
  <sheetFormatPr baseColWidth="10" defaultRowHeight="15"/>
  <cols>
    <col min="2" max="2" width="15.85546875" customWidth="1"/>
    <col min="3" max="3" width="14.140625" customWidth="1"/>
    <col min="4" max="4" width="13.7109375" customWidth="1"/>
    <col min="7" max="7" width="16.7109375" customWidth="1"/>
    <col min="12" max="12" width="11.85546875" bestFit="1" customWidth="1"/>
  </cols>
  <sheetData>
    <row r="2" spans="2:15" ht="60">
      <c r="B2" s="22" t="s">
        <v>1027</v>
      </c>
      <c r="C2" s="22" t="s">
        <v>1008</v>
      </c>
      <c r="D2" s="22" t="s">
        <v>1009</v>
      </c>
      <c r="E2" s="22" t="s">
        <v>1010</v>
      </c>
      <c r="F2" s="22" t="s">
        <v>1011</v>
      </c>
      <c r="G2" s="22" t="s">
        <v>1025</v>
      </c>
      <c r="H2" s="22" t="s">
        <v>1012</v>
      </c>
      <c r="I2" s="22" t="s">
        <v>1013</v>
      </c>
      <c r="J2" s="22" t="s">
        <v>1026</v>
      </c>
      <c r="K2" s="22" t="s">
        <v>1028</v>
      </c>
      <c r="L2" s="22" t="s">
        <v>1029</v>
      </c>
    </row>
    <row r="3" spans="2:15">
      <c r="B3" s="323" t="s">
        <v>1014</v>
      </c>
      <c r="C3" s="67">
        <v>15</v>
      </c>
      <c r="D3" s="22">
        <v>13.2</v>
      </c>
      <c r="E3" s="22">
        <f t="shared" ref="E3:E13" si="0">C3/D3</f>
        <v>1.1363636363636365</v>
      </c>
      <c r="F3" s="22">
        <v>1.6477272727272729</v>
      </c>
      <c r="G3" s="22">
        <v>1161.7164877963294</v>
      </c>
      <c r="H3" s="22">
        <v>0.5</v>
      </c>
      <c r="I3" s="22">
        <v>74</v>
      </c>
      <c r="J3" s="22">
        <f>G3*(SQRT(H3)/I3)</f>
        <v>11.100778464013562</v>
      </c>
      <c r="K3" s="22">
        <v>39.24</v>
      </c>
      <c r="L3" s="22" t="str">
        <f>IF(K3&gt;J3,$N$3,$O$3)</f>
        <v>cumple</v>
      </c>
      <c r="N3" t="s">
        <v>1030</v>
      </c>
      <c r="O3" t="s">
        <v>1031</v>
      </c>
    </row>
    <row r="4" spans="2:15">
      <c r="B4" s="323" t="s">
        <v>1015</v>
      </c>
      <c r="C4" s="67">
        <v>15</v>
      </c>
      <c r="D4" s="22">
        <v>13.2</v>
      </c>
      <c r="E4" s="22">
        <f t="shared" si="0"/>
        <v>1.1363636363636365</v>
      </c>
      <c r="F4" s="22">
        <v>1.6477272727272729</v>
      </c>
      <c r="G4" s="22">
        <v>1161.7934483154024</v>
      </c>
      <c r="H4" s="22">
        <v>0.5</v>
      </c>
      <c r="I4" s="22">
        <v>74</v>
      </c>
      <c r="J4" s="22">
        <f t="shared" ref="J4:J13" si="1">G4*(SQRT(H4)/I4)</f>
        <v>11.101513860025998</v>
      </c>
      <c r="K4" s="22">
        <v>39.24</v>
      </c>
      <c r="L4" s="22" t="str">
        <f t="shared" ref="L4:L13" si="2">IF(K4&gt;J4,$N$3,$O$3)</f>
        <v>cumple</v>
      </c>
    </row>
    <row r="5" spans="2:15">
      <c r="B5" s="323" t="s">
        <v>1016</v>
      </c>
      <c r="C5" s="67">
        <v>15</v>
      </c>
      <c r="D5" s="22">
        <v>13.2</v>
      </c>
      <c r="E5" s="22">
        <f t="shared" si="0"/>
        <v>1.1363636363636365</v>
      </c>
      <c r="F5" s="22">
        <v>1.6477272727272729</v>
      </c>
      <c r="G5" s="22">
        <v>1161.6248034673258</v>
      </c>
      <c r="H5" s="22">
        <v>0.5</v>
      </c>
      <c r="I5" s="22">
        <v>74</v>
      </c>
      <c r="J5" s="22">
        <f t="shared" si="1"/>
        <v>11.099902374678873</v>
      </c>
      <c r="K5" s="22">
        <v>39.24</v>
      </c>
      <c r="L5" s="22" t="str">
        <f t="shared" si="2"/>
        <v>cumple</v>
      </c>
    </row>
    <row r="6" spans="2:15">
      <c r="B6" s="323" t="s">
        <v>1017</v>
      </c>
      <c r="C6" s="67">
        <v>10</v>
      </c>
      <c r="D6" s="22">
        <v>13.2</v>
      </c>
      <c r="E6" s="22">
        <f t="shared" si="0"/>
        <v>0.75757575757575757</v>
      </c>
      <c r="F6" s="22">
        <v>1.0984848484848484</v>
      </c>
      <c r="G6" s="22">
        <v>1712.8603871413427</v>
      </c>
      <c r="H6" s="22">
        <v>0.5</v>
      </c>
      <c r="I6" s="22">
        <v>74</v>
      </c>
      <c r="J6" s="22">
        <f t="shared" si="1"/>
        <v>16.367232364506197</v>
      </c>
      <c r="K6" s="22">
        <v>39.24</v>
      </c>
      <c r="L6" s="22" t="str">
        <f t="shared" si="2"/>
        <v>cumple</v>
      </c>
    </row>
    <row r="7" spans="2:15">
      <c r="B7" s="323" t="s">
        <v>1018</v>
      </c>
      <c r="C7" s="67">
        <v>10</v>
      </c>
      <c r="D7" s="22">
        <v>13.2</v>
      </c>
      <c r="E7" s="22">
        <f t="shared" si="0"/>
        <v>0.75757575757575757</v>
      </c>
      <c r="F7" s="22">
        <v>1.0984848484848484</v>
      </c>
      <c r="G7" s="22">
        <v>1713.936021258997</v>
      </c>
      <c r="H7" s="22">
        <v>0.5</v>
      </c>
      <c r="I7" s="22">
        <v>74</v>
      </c>
      <c r="J7" s="22">
        <f t="shared" si="1"/>
        <v>16.377510583136857</v>
      </c>
      <c r="K7" s="22">
        <v>39.24</v>
      </c>
      <c r="L7" s="22" t="str">
        <f t="shared" si="2"/>
        <v>cumple</v>
      </c>
    </row>
    <row r="8" spans="2:15">
      <c r="B8" s="323" t="s">
        <v>1019</v>
      </c>
      <c r="C8" s="67">
        <v>15</v>
      </c>
      <c r="D8" s="22">
        <v>13.2</v>
      </c>
      <c r="E8" s="22">
        <f t="shared" si="0"/>
        <v>1.1363636363636365</v>
      </c>
      <c r="F8" s="22">
        <v>1.6477272727272729</v>
      </c>
      <c r="G8" s="22">
        <v>1162.0784547562432</v>
      </c>
      <c r="H8" s="22">
        <v>0.5</v>
      </c>
      <c r="I8" s="22">
        <v>74</v>
      </c>
      <c r="J8" s="22">
        <f t="shared" si="1"/>
        <v>11.104237238228706</v>
      </c>
      <c r="K8" s="22">
        <v>39.24</v>
      </c>
      <c r="L8" s="22" t="str">
        <f t="shared" si="2"/>
        <v>cumple</v>
      </c>
    </row>
    <row r="9" spans="2:15">
      <c r="B9" s="323" t="s">
        <v>1020</v>
      </c>
      <c r="C9" s="67">
        <v>10</v>
      </c>
      <c r="D9" s="22">
        <v>13.2</v>
      </c>
      <c r="E9" s="22">
        <f t="shared" si="0"/>
        <v>0.75757575757575757</v>
      </c>
      <c r="F9" s="22">
        <v>1.0984848484848484</v>
      </c>
      <c r="G9" s="22">
        <v>1714.0750261542282</v>
      </c>
      <c r="H9" s="22">
        <v>0.5</v>
      </c>
      <c r="I9" s="22">
        <v>74</v>
      </c>
      <c r="J9" s="22">
        <f t="shared" si="1"/>
        <v>16.37883884400221</v>
      </c>
      <c r="K9" s="22">
        <v>39.24</v>
      </c>
      <c r="L9" s="22" t="str">
        <f t="shared" si="2"/>
        <v>cumple</v>
      </c>
    </row>
    <row r="10" spans="2:15">
      <c r="B10" s="323" t="s">
        <v>1021</v>
      </c>
      <c r="C10" s="67">
        <v>15</v>
      </c>
      <c r="D10" s="22">
        <v>13.2</v>
      </c>
      <c r="E10" s="22">
        <f t="shared" si="0"/>
        <v>1.1363636363636365</v>
      </c>
      <c r="F10" s="22">
        <v>1.6477272727272729</v>
      </c>
      <c r="G10" s="22">
        <v>1161.9195546094491</v>
      </c>
      <c r="H10" s="22">
        <v>0.5</v>
      </c>
      <c r="I10" s="22">
        <v>74</v>
      </c>
      <c r="J10" s="22">
        <f t="shared" si="1"/>
        <v>11.102718868345871</v>
      </c>
      <c r="K10" s="22">
        <v>39.24</v>
      </c>
      <c r="L10" s="22" t="str">
        <f t="shared" si="2"/>
        <v>cumple</v>
      </c>
    </row>
    <row r="11" spans="2:15">
      <c r="B11" s="323" t="s">
        <v>1022</v>
      </c>
      <c r="C11" s="67">
        <v>15</v>
      </c>
      <c r="D11" s="22">
        <v>13.2</v>
      </c>
      <c r="E11" s="22">
        <f t="shared" si="0"/>
        <v>1.1363636363636365</v>
      </c>
      <c r="F11" s="22">
        <v>1.6477272727272729</v>
      </c>
      <c r="G11" s="22">
        <v>1162.4537626278493</v>
      </c>
      <c r="H11" s="22">
        <v>0.5</v>
      </c>
      <c r="I11" s="22">
        <v>74</v>
      </c>
      <c r="J11" s="22">
        <f t="shared" si="1"/>
        <v>11.107823491486075</v>
      </c>
      <c r="K11" s="22">
        <v>39.24</v>
      </c>
      <c r="L11" s="22" t="str">
        <f t="shared" si="2"/>
        <v>cumple</v>
      </c>
    </row>
    <row r="12" spans="2:15">
      <c r="B12" s="323" t="s">
        <v>1023</v>
      </c>
      <c r="C12" s="67">
        <v>15</v>
      </c>
      <c r="D12" s="22">
        <v>13.2</v>
      </c>
      <c r="E12" s="22">
        <f t="shared" si="0"/>
        <v>1.1363636363636365</v>
      </c>
      <c r="F12" s="22">
        <v>1.6477272727272729</v>
      </c>
      <c r="G12" s="22">
        <v>1162.0964771043175</v>
      </c>
      <c r="H12" s="22">
        <v>0.5</v>
      </c>
      <c r="I12" s="22">
        <v>74</v>
      </c>
      <c r="J12" s="22">
        <f t="shared" si="1"/>
        <v>11.104409450722438</v>
      </c>
      <c r="K12" s="22">
        <v>39.24</v>
      </c>
      <c r="L12" s="22" t="str">
        <f t="shared" si="2"/>
        <v>cumple</v>
      </c>
    </row>
    <row r="13" spans="2:15" ht="15.75" thickBot="1">
      <c r="B13" s="324" t="s">
        <v>1024</v>
      </c>
      <c r="C13" s="325">
        <v>15</v>
      </c>
      <c r="D13" s="22">
        <v>13.2</v>
      </c>
      <c r="E13" s="22">
        <f t="shared" si="0"/>
        <v>1.1363636363636365</v>
      </c>
      <c r="F13" s="22">
        <v>1.6477272727272729</v>
      </c>
      <c r="G13" s="22">
        <v>1161.7410485563175</v>
      </c>
      <c r="H13" s="22">
        <v>0.5</v>
      </c>
      <c r="I13" s="22">
        <v>74</v>
      </c>
      <c r="J13" s="22">
        <f t="shared" si="1"/>
        <v>11.101013154283004</v>
      </c>
      <c r="K13" s="22">
        <v>39.24</v>
      </c>
      <c r="L13" s="22" t="str">
        <f t="shared" si="2"/>
        <v>cumple</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18"/>
  <dimension ref="A1:Q32"/>
  <sheetViews>
    <sheetView workbookViewId="0">
      <selection activeCell="O15" sqref="O15"/>
    </sheetView>
  </sheetViews>
  <sheetFormatPr baseColWidth="10" defaultRowHeight="15"/>
  <sheetData>
    <row r="1" spans="1:17" ht="18">
      <c r="A1" s="419" t="s">
        <v>950</v>
      </c>
      <c r="B1" s="419"/>
      <c r="C1" s="419"/>
      <c r="D1" s="420"/>
      <c r="E1" s="420"/>
      <c r="F1" s="420"/>
      <c r="G1" s="420"/>
      <c r="H1" s="149"/>
      <c r="I1" s="421"/>
      <c r="J1" s="420"/>
      <c r="K1" s="420"/>
      <c r="L1" s="420"/>
      <c r="M1" s="420"/>
      <c r="N1" s="420"/>
      <c r="O1" s="420"/>
      <c r="P1" s="129"/>
      <c r="Q1" s="129"/>
    </row>
    <row r="2" spans="1:17" ht="15.75" thickBot="1">
      <c r="A2" s="422" t="s">
        <v>951</v>
      </c>
      <c r="B2" s="422"/>
      <c r="C2" s="422"/>
      <c r="D2" s="420"/>
      <c r="E2" s="420"/>
      <c r="F2" s="420"/>
      <c r="G2" s="420"/>
      <c r="H2" s="423" t="s">
        <v>952</v>
      </c>
      <c r="I2" s="424"/>
      <c r="J2" s="424"/>
      <c r="K2" s="129"/>
      <c r="L2" s="129"/>
      <c r="M2" s="129"/>
      <c r="N2" s="129"/>
      <c r="O2" s="129"/>
      <c r="P2" s="129"/>
      <c r="Q2" s="129"/>
    </row>
    <row r="3" spans="1:17" ht="33" thickBot="1">
      <c r="A3" s="296"/>
      <c r="B3" s="296"/>
      <c r="C3" s="296"/>
      <c r="D3" s="297"/>
      <c r="E3" s="297"/>
      <c r="F3" s="298" t="s">
        <v>953</v>
      </c>
      <c r="G3" s="298" t="s">
        <v>954</v>
      </c>
      <c r="H3" s="298" t="s">
        <v>955</v>
      </c>
      <c r="I3" s="298" t="s">
        <v>956</v>
      </c>
      <c r="J3" s="298" t="s">
        <v>957</v>
      </c>
      <c r="K3" s="298" t="s">
        <v>958</v>
      </c>
      <c r="M3" s="297"/>
      <c r="N3" s="297"/>
      <c r="O3" s="297"/>
      <c r="P3" s="297"/>
      <c r="Q3" s="297"/>
    </row>
    <row r="4" spans="1:17" ht="16.5" thickBot="1">
      <c r="A4" s="299" t="s">
        <v>989</v>
      </c>
      <c r="C4" s="299"/>
      <c r="D4" s="299">
        <v>7</v>
      </c>
      <c r="F4" s="300"/>
      <c r="G4" s="129"/>
      <c r="H4" s="149"/>
      <c r="I4" s="129"/>
      <c r="J4" s="129"/>
      <c r="K4" s="129"/>
      <c r="L4" s="129"/>
      <c r="M4" s="129"/>
      <c r="N4" s="129"/>
      <c r="O4" s="129"/>
      <c r="P4" s="129"/>
      <c r="Q4" s="129"/>
    </row>
    <row r="5" spans="1:17" ht="15.75" thickBot="1">
      <c r="A5" s="425" t="s">
        <v>959</v>
      </c>
      <c r="B5" s="426"/>
      <c r="C5" s="426"/>
      <c r="D5" s="427"/>
      <c r="E5" s="427"/>
      <c r="F5" s="427"/>
      <c r="G5" s="427"/>
      <c r="H5" s="427"/>
      <c r="I5" s="427"/>
      <c r="J5" s="427"/>
      <c r="K5" s="428"/>
      <c r="L5" s="129"/>
      <c r="M5" s="129"/>
      <c r="N5" s="129"/>
      <c r="O5" s="129"/>
      <c r="P5" s="129"/>
      <c r="Q5" s="129"/>
    </row>
    <row r="6" spans="1:17">
      <c r="A6" s="301"/>
      <c r="B6" s="301"/>
      <c r="C6" s="301"/>
      <c r="D6" s="129"/>
      <c r="E6" s="129"/>
      <c r="F6" s="300"/>
      <c r="G6" s="129"/>
      <c r="H6" s="149"/>
      <c r="I6" s="129"/>
      <c r="J6" s="129"/>
      <c r="K6" s="129"/>
      <c r="L6" s="129"/>
      <c r="M6" s="129"/>
      <c r="N6" s="129"/>
      <c r="O6" s="129"/>
      <c r="P6" s="129"/>
      <c r="Q6" s="129"/>
    </row>
    <row r="7" spans="1:17" ht="60">
      <c r="A7" s="314" t="s">
        <v>960</v>
      </c>
      <c r="B7" s="314" t="s">
        <v>986</v>
      </c>
      <c r="C7" s="314" t="s">
        <v>198</v>
      </c>
      <c r="D7" s="314" t="s">
        <v>817</v>
      </c>
      <c r="E7" s="314" t="s">
        <v>961</v>
      </c>
      <c r="F7" s="315" t="s">
        <v>962</v>
      </c>
      <c r="G7" s="317" t="s">
        <v>987</v>
      </c>
      <c r="H7" s="317" t="s">
        <v>621</v>
      </c>
      <c r="I7" s="317" t="s">
        <v>622</v>
      </c>
      <c r="J7" s="318" t="s">
        <v>623</v>
      </c>
      <c r="K7" s="317" t="s">
        <v>624</v>
      </c>
      <c r="L7" s="314" t="s">
        <v>988</v>
      </c>
      <c r="M7" s="314" t="s">
        <v>990</v>
      </c>
      <c r="N7" s="129"/>
      <c r="O7" s="129"/>
      <c r="P7" s="129"/>
      <c r="Q7" s="129"/>
    </row>
    <row r="8" spans="1:17">
      <c r="A8" s="303"/>
      <c r="B8" s="303"/>
      <c r="C8" s="303"/>
      <c r="D8" s="304"/>
      <c r="E8" s="304"/>
      <c r="F8" s="305">
        <f>E8*A8</f>
        <v>0</v>
      </c>
      <c r="G8" s="302"/>
      <c r="H8" s="302"/>
      <c r="I8" s="302"/>
      <c r="J8" s="302"/>
      <c r="K8" s="302"/>
      <c r="L8" s="316"/>
      <c r="M8" s="316"/>
      <c r="N8" s="129"/>
      <c r="O8" s="129"/>
      <c r="P8" s="129"/>
      <c r="Q8" s="129"/>
    </row>
    <row r="9" spans="1:17">
      <c r="A9" s="303"/>
      <c r="B9" s="303" t="s">
        <v>626</v>
      </c>
      <c r="C9" s="303">
        <v>5</v>
      </c>
      <c r="D9" s="304" t="s">
        <v>963</v>
      </c>
      <c r="E9" s="304">
        <v>8.9700000000000006</v>
      </c>
      <c r="F9" s="306">
        <f>$E$9*$A$9</f>
        <v>0</v>
      </c>
      <c r="G9" s="319">
        <f>VLOOKUP(B9,Hoja6!$F$4:$M$16,3,FALSE)</f>
        <v>3.81E-3</v>
      </c>
      <c r="H9" s="306">
        <f>VLOOKUP(B9,Hoja6!$F$4:$M$16,4,FALSE)</f>
        <v>242</v>
      </c>
      <c r="I9" s="306">
        <f>VLOOKUP(B9,Hoja6!$F$4:$M$16,5,FALSE)</f>
        <v>1084</v>
      </c>
      <c r="J9" s="306">
        <f>VLOOKUP(B9,Hoja6!$F$4:$M$16,6,FALSE)</f>
        <v>1.78</v>
      </c>
      <c r="K9" s="306">
        <f>VLOOKUP(B9,Hoja6!$F$4:$M$16,7,FALSE)</f>
        <v>3.42</v>
      </c>
      <c r="L9" s="316">
        <f>(J9)*(C9/(E9/100))</f>
        <v>99.219620958751392</v>
      </c>
      <c r="M9" s="316">
        <f>('Cargas Nominales y Totales'!$M$9*'Cargas Nominales y Totales'!$M$9*'Calculo economico'!L9*'Calculo economico'!$D$4)/1000</f>
        <v>10836.092571886564</v>
      </c>
      <c r="N9" s="129"/>
      <c r="O9" s="129"/>
      <c r="P9" s="129"/>
      <c r="Q9" s="129"/>
    </row>
    <row r="10" spans="1:17">
      <c r="A10" s="303"/>
      <c r="B10" s="303"/>
      <c r="C10" s="303"/>
      <c r="D10" s="304" t="s">
        <v>964</v>
      </c>
      <c r="E10" s="304">
        <v>11.7</v>
      </c>
      <c r="F10" s="306">
        <f>$E$10*$A$10</f>
        <v>0</v>
      </c>
      <c r="G10" s="319" t="e">
        <f>VLOOKUP(B10,Hoja6!$F$4:$M$16,3,FALSE)</f>
        <v>#N/A</v>
      </c>
      <c r="H10" s="306" t="e">
        <f>VLOOKUP(B10,Hoja6!$F$4:$M$16,4,FALSE)</f>
        <v>#N/A</v>
      </c>
      <c r="I10" s="306" t="e">
        <f>VLOOKUP(B10,Hoja6!$F$4:$M$16,5,FALSE)</f>
        <v>#N/A</v>
      </c>
      <c r="J10" s="306" t="e">
        <f>VLOOKUP(B10,Hoja6!$F$4:$M$16,6,FALSE)</f>
        <v>#N/A</v>
      </c>
      <c r="K10" s="306" t="e">
        <f>VLOOKUP(B10,Hoja6!$F$4:$M$16,7,FALSE)</f>
        <v>#N/A</v>
      </c>
      <c r="L10" s="316" t="e">
        <f t="shared" ref="L10:L27" si="0">J10*(C10/E10)</f>
        <v>#N/A</v>
      </c>
      <c r="M10" s="316" t="e">
        <f>('Cargas Nominales y Totales'!$M$9*'Cargas Nominales y Totales'!$M$9*'Calculo economico'!L10*'Calculo economico'!$D$4)/1000</f>
        <v>#N/A</v>
      </c>
      <c r="N10" s="129"/>
      <c r="O10" s="129"/>
      <c r="P10" s="129"/>
      <c r="Q10" s="129"/>
    </row>
    <row r="11" spans="1:17">
      <c r="A11" s="303"/>
      <c r="B11" s="303"/>
      <c r="C11" s="303"/>
      <c r="D11" s="304" t="s">
        <v>965</v>
      </c>
      <c r="E11" s="304">
        <v>15.7</v>
      </c>
      <c r="F11" s="306">
        <f>$E$11*$A$11</f>
        <v>0</v>
      </c>
      <c r="G11" s="319" t="e">
        <f>VLOOKUP(B11,Hoja6!$F$4:$M$16,3,FALSE)</f>
        <v>#N/A</v>
      </c>
      <c r="H11" s="306" t="e">
        <f>VLOOKUP(B11,Hoja6!$F$4:$M$16,4,FALSE)</f>
        <v>#N/A</v>
      </c>
      <c r="I11" s="306" t="e">
        <f>VLOOKUP(B11,Hoja6!$F$4:$M$16,5,FALSE)</f>
        <v>#N/A</v>
      </c>
      <c r="J11" s="306" t="e">
        <f>VLOOKUP(B11,Hoja6!$F$4:$M$16,6,FALSE)</f>
        <v>#N/A</v>
      </c>
      <c r="K11" s="306" t="e">
        <f>VLOOKUP(B11,Hoja6!$F$4:$M$16,7,FALSE)</f>
        <v>#N/A</v>
      </c>
      <c r="L11" s="316" t="e">
        <f t="shared" si="0"/>
        <v>#N/A</v>
      </c>
      <c r="M11" s="316" t="e">
        <f>('Cargas Nominales y Totales'!$M$9*'Cargas Nominales y Totales'!$M$9*'Calculo economico'!L11*'Calculo economico'!$D$4)/1000</f>
        <v>#N/A</v>
      </c>
      <c r="N11" s="129"/>
      <c r="O11" s="129"/>
      <c r="P11" s="129"/>
      <c r="Q11" s="129"/>
    </row>
    <row r="12" spans="1:17">
      <c r="A12" s="303"/>
      <c r="B12" s="303"/>
      <c r="C12" s="303"/>
      <c r="D12" s="304" t="s">
        <v>966</v>
      </c>
      <c r="E12" s="304">
        <v>28.2</v>
      </c>
      <c r="F12" s="306">
        <f>$E$12*$A$12</f>
        <v>0</v>
      </c>
      <c r="G12" s="319" t="e">
        <f>VLOOKUP(B12,Hoja6!$F$4:$M$16,3,FALSE)</f>
        <v>#N/A</v>
      </c>
      <c r="H12" s="306" t="e">
        <f>VLOOKUP(B12,Hoja6!$F$4:$M$16,4,FALSE)</f>
        <v>#N/A</v>
      </c>
      <c r="I12" s="306" t="e">
        <f>VLOOKUP(B12,Hoja6!$F$4:$M$16,5,FALSE)</f>
        <v>#N/A</v>
      </c>
      <c r="J12" s="306" t="e">
        <f>VLOOKUP(B12,Hoja6!$F$4:$M$16,6,FALSE)</f>
        <v>#N/A</v>
      </c>
      <c r="K12" s="306" t="e">
        <f>VLOOKUP(B12,Hoja6!$F$4:$M$16,7,FALSE)</f>
        <v>#N/A</v>
      </c>
      <c r="L12" s="316" t="e">
        <f t="shared" si="0"/>
        <v>#N/A</v>
      </c>
      <c r="M12" s="316" t="e">
        <f>('Cargas Nominales y Totales'!$M$9*'Cargas Nominales y Totales'!$M$9*'Calculo economico'!L12*'Calculo economico'!$D$4)/1000</f>
        <v>#N/A</v>
      </c>
      <c r="N12" s="129"/>
      <c r="O12" s="129"/>
      <c r="P12" s="129"/>
      <c r="Q12" s="129"/>
    </row>
    <row r="13" spans="1:17">
      <c r="A13" s="303"/>
      <c r="B13" s="303"/>
      <c r="C13" s="303"/>
      <c r="D13" s="304" t="s">
        <v>967</v>
      </c>
      <c r="E13" s="304">
        <v>46.8</v>
      </c>
      <c r="F13" s="306">
        <f>$E$13*$A$13</f>
        <v>0</v>
      </c>
      <c r="G13" s="319" t="e">
        <f>VLOOKUP(B13,Hoja6!$F$4:$M$16,3,FALSE)</f>
        <v>#N/A</v>
      </c>
      <c r="H13" s="306" t="e">
        <f>VLOOKUP(B13,Hoja6!$F$4:$M$16,4,FALSE)</f>
        <v>#N/A</v>
      </c>
      <c r="I13" s="306" t="e">
        <f>VLOOKUP(B13,Hoja6!$F$4:$M$16,5,FALSE)</f>
        <v>#N/A</v>
      </c>
      <c r="J13" s="306" t="e">
        <f>VLOOKUP(B13,Hoja6!$F$4:$M$16,6,FALSE)</f>
        <v>#N/A</v>
      </c>
      <c r="K13" s="306" t="e">
        <f>VLOOKUP(B13,Hoja6!$F$4:$M$16,7,FALSE)</f>
        <v>#N/A</v>
      </c>
      <c r="L13" s="316" t="e">
        <f t="shared" si="0"/>
        <v>#N/A</v>
      </c>
      <c r="M13" s="316" t="e">
        <f>('Cargas Nominales y Totales'!$M$9*'Cargas Nominales y Totales'!$M$9*'Calculo economico'!L13*'Calculo economico'!$D$4)/1000</f>
        <v>#N/A</v>
      </c>
      <c r="N13" s="129"/>
      <c r="O13" s="129"/>
      <c r="P13" s="129"/>
      <c r="Q13" s="129"/>
    </row>
    <row r="14" spans="1:17">
      <c r="A14" s="303"/>
      <c r="B14" s="303"/>
      <c r="C14" s="303"/>
      <c r="D14" s="304" t="s">
        <v>968</v>
      </c>
      <c r="E14" s="304">
        <v>62.8</v>
      </c>
      <c r="F14" s="306">
        <f>$E$14*$A$14</f>
        <v>0</v>
      </c>
      <c r="G14" s="319" t="e">
        <f>VLOOKUP(B14,Hoja6!$F$4:$M$16,3,FALSE)</f>
        <v>#N/A</v>
      </c>
      <c r="H14" s="306" t="e">
        <f>VLOOKUP(B14,Hoja6!$F$4:$M$16,4,FALSE)</f>
        <v>#N/A</v>
      </c>
      <c r="I14" s="306" t="e">
        <f>VLOOKUP(B14,Hoja6!$F$4:$M$16,5,FALSE)</f>
        <v>#N/A</v>
      </c>
      <c r="J14" s="306" t="e">
        <f>VLOOKUP(B14,Hoja6!$F$4:$M$16,6,FALSE)</f>
        <v>#N/A</v>
      </c>
      <c r="K14" s="306" t="e">
        <f>VLOOKUP(B14,Hoja6!$F$4:$M$16,7,FALSE)</f>
        <v>#N/A</v>
      </c>
      <c r="L14" s="316" t="e">
        <f t="shared" si="0"/>
        <v>#N/A</v>
      </c>
      <c r="M14" s="316" t="e">
        <f>('Cargas Nominales y Totales'!$M$9*'Cargas Nominales y Totales'!$M$9*'Calculo economico'!L14*'Calculo economico'!$D$4)/1000</f>
        <v>#N/A</v>
      </c>
      <c r="N14" s="129"/>
      <c r="O14" s="129"/>
      <c r="P14" s="129"/>
      <c r="Q14" s="129"/>
    </row>
    <row r="15" spans="1:17">
      <c r="A15" s="303"/>
      <c r="B15" s="303"/>
      <c r="C15" s="303"/>
      <c r="D15" s="304" t="s">
        <v>969</v>
      </c>
      <c r="E15" s="304">
        <v>73.2</v>
      </c>
      <c r="F15" s="306">
        <f>$E$15*$A$15</f>
        <v>0</v>
      </c>
      <c r="G15" s="319" t="e">
        <f>VLOOKUP(B15,Hoja6!$F$4:$M$16,3,FALSE)</f>
        <v>#N/A</v>
      </c>
      <c r="H15" s="306" t="e">
        <f>VLOOKUP(B15,Hoja6!$F$4:$M$16,4,FALSE)</f>
        <v>#N/A</v>
      </c>
      <c r="I15" s="306" t="e">
        <f>VLOOKUP(B15,Hoja6!$F$4:$M$16,5,FALSE)</f>
        <v>#N/A</v>
      </c>
      <c r="J15" s="306" t="e">
        <f>VLOOKUP(B15,Hoja6!$F$4:$M$16,6,FALSE)</f>
        <v>#N/A</v>
      </c>
      <c r="K15" s="306" t="e">
        <f>VLOOKUP(B15,Hoja6!$F$4:$M$16,7,FALSE)</f>
        <v>#N/A</v>
      </c>
      <c r="L15" s="316" t="e">
        <f t="shared" si="0"/>
        <v>#N/A</v>
      </c>
      <c r="M15" s="316" t="e">
        <f>('Cargas Nominales y Totales'!$M$9*'Cargas Nominales y Totales'!$M$9*'Calculo economico'!L15*'Calculo economico'!$D$4)/1000</f>
        <v>#N/A</v>
      </c>
      <c r="N15" s="129"/>
      <c r="O15" s="129"/>
      <c r="P15" s="129"/>
      <c r="Q15" s="129"/>
    </row>
    <row r="16" spans="1:17">
      <c r="A16" s="303"/>
      <c r="B16" s="303"/>
      <c r="C16" s="303"/>
      <c r="D16" s="304" t="s">
        <v>970</v>
      </c>
      <c r="E16" s="304">
        <v>86</v>
      </c>
      <c r="F16" s="306">
        <f>$E$16*$A$16</f>
        <v>0</v>
      </c>
      <c r="G16" s="319" t="e">
        <f>VLOOKUP(B16,Hoja6!$F$4:$M$16,3,FALSE)</f>
        <v>#N/A</v>
      </c>
      <c r="H16" s="306" t="e">
        <f>VLOOKUP(B16,Hoja6!$F$4:$M$16,4,FALSE)</f>
        <v>#N/A</v>
      </c>
      <c r="I16" s="306" t="e">
        <f>VLOOKUP(B16,Hoja6!$F$4:$M$16,5,FALSE)</f>
        <v>#N/A</v>
      </c>
      <c r="J16" s="306" t="e">
        <f>VLOOKUP(B16,Hoja6!$F$4:$M$16,6,FALSE)</f>
        <v>#N/A</v>
      </c>
      <c r="K16" s="306" t="e">
        <f>VLOOKUP(B16,Hoja6!$F$4:$M$16,7,FALSE)</f>
        <v>#N/A</v>
      </c>
      <c r="L16" s="316" t="e">
        <f t="shared" si="0"/>
        <v>#N/A</v>
      </c>
      <c r="M16" s="316" t="e">
        <f>('Cargas Nominales y Totales'!$M$9*'Cargas Nominales y Totales'!$M$9*'Calculo economico'!L16*'Calculo economico'!$D$4)/1000</f>
        <v>#N/A</v>
      </c>
      <c r="N16" s="129"/>
      <c r="O16" s="129"/>
      <c r="P16" s="129"/>
      <c r="Q16" s="129"/>
    </row>
    <row r="17" spans="1:17">
      <c r="A17" s="303"/>
      <c r="B17" s="303"/>
      <c r="C17" s="303"/>
      <c r="D17" s="304" t="s">
        <v>971</v>
      </c>
      <c r="E17" s="307">
        <v>123</v>
      </c>
      <c r="F17" s="306">
        <f>$E$17*$A$17</f>
        <v>0</v>
      </c>
      <c r="G17" s="319" t="e">
        <f>VLOOKUP(B17,Hoja6!$F$4:$M$16,3,FALSE)</f>
        <v>#N/A</v>
      </c>
      <c r="H17" s="306" t="e">
        <f>VLOOKUP(B17,Hoja6!$F$4:$M$16,4,FALSE)</f>
        <v>#N/A</v>
      </c>
      <c r="I17" s="306" t="e">
        <f>VLOOKUP(B17,Hoja6!$F$4:$M$16,5,FALSE)</f>
        <v>#N/A</v>
      </c>
      <c r="J17" s="306" t="e">
        <f>VLOOKUP(B17,Hoja6!$F$4:$M$16,6,FALSE)</f>
        <v>#N/A</v>
      </c>
      <c r="K17" s="306" t="e">
        <f>VLOOKUP(B17,Hoja6!$F$4:$M$16,7,FALSE)</f>
        <v>#N/A</v>
      </c>
      <c r="L17" s="316" t="e">
        <f t="shared" si="0"/>
        <v>#N/A</v>
      </c>
      <c r="M17" s="316" t="e">
        <f>('Cargas Nominales y Totales'!$M$9*'Cargas Nominales y Totales'!$M$9*'Calculo economico'!L17*'Calculo economico'!$D$4)/1000</f>
        <v>#N/A</v>
      </c>
      <c r="N17" s="129"/>
      <c r="O17" s="129"/>
      <c r="P17" s="129"/>
      <c r="Q17" s="129"/>
    </row>
    <row r="18" spans="1:17">
      <c r="A18" s="303"/>
      <c r="B18" s="303"/>
      <c r="C18" s="303"/>
      <c r="D18" s="308" t="s">
        <v>756</v>
      </c>
      <c r="E18" s="304">
        <v>143</v>
      </c>
      <c r="F18" s="306">
        <f>$E$18*$A$18</f>
        <v>0</v>
      </c>
      <c r="G18" s="319" t="e">
        <f>VLOOKUP(B18,Hoja6!$F$4:$M$16,3,FALSE)</f>
        <v>#N/A</v>
      </c>
      <c r="H18" s="306" t="e">
        <f>VLOOKUP(B18,Hoja6!$F$4:$M$16,4,FALSE)</f>
        <v>#N/A</v>
      </c>
      <c r="I18" s="306" t="e">
        <f>VLOOKUP(B18,Hoja6!$F$4:$M$16,5,FALSE)</f>
        <v>#N/A</v>
      </c>
      <c r="J18" s="306" t="e">
        <f>VLOOKUP(B18,Hoja6!$F$4:$M$16,6,FALSE)</f>
        <v>#N/A</v>
      </c>
      <c r="K18" s="306" t="e">
        <f>VLOOKUP(B18,Hoja6!$F$4:$M$16,7,FALSE)</f>
        <v>#N/A</v>
      </c>
      <c r="L18" s="316" t="e">
        <f t="shared" si="0"/>
        <v>#N/A</v>
      </c>
      <c r="M18" s="316" t="e">
        <f>('Cargas Nominales y Totales'!$M$9*'Cargas Nominales y Totales'!$M$9*'Calculo economico'!L18*'Calculo economico'!$D$4)/1000</f>
        <v>#N/A</v>
      </c>
      <c r="N18" s="129"/>
      <c r="O18" s="129"/>
      <c r="P18" s="129"/>
      <c r="Q18" s="129"/>
    </row>
    <row r="19" spans="1:17">
      <c r="A19" s="303"/>
      <c r="B19" s="303"/>
      <c r="C19" s="303"/>
      <c r="D19" s="309" t="s">
        <v>757</v>
      </c>
      <c r="E19" s="304">
        <v>169</v>
      </c>
      <c r="F19" s="306">
        <f>$E$19*$A$19</f>
        <v>0</v>
      </c>
      <c r="G19" s="319" t="e">
        <f>VLOOKUP(B19,Hoja6!$F$4:$M$16,3,FALSE)</f>
        <v>#N/A</v>
      </c>
      <c r="H19" s="306" t="e">
        <f>VLOOKUP(B19,Hoja6!$F$4:$M$16,4,FALSE)</f>
        <v>#N/A</v>
      </c>
      <c r="I19" s="306" t="e">
        <f>VLOOKUP(B19,Hoja6!$F$4:$M$16,5,FALSE)</f>
        <v>#N/A</v>
      </c>
      <c r="J19" s="306" t="e">
        <f>VLOOKUP(B19,Hoja6!$F$4:$M$16,6,FALSE)</f>
        <v>#N/A</v>
      </c>
      <c r="K19" s="306" t="e">
        <f>VLOOKUP(B19,Hoja6!$F$4:$M$16,7,FALSE)</f>
        <v>#N/A</v>
      </c>
      <c r="L19" s="316" t="e">
        <f t="shared" si="0"/>
        <v>#N/A</v>
      </c>
      <c r="M19" s="316" t="e">
        <f>('Cargas Nominales y Totales'!$M$9*'Cargas Nominales y Totales'!$M$9*'Calculo economico'!L19*'Calculo economico'!$D$4)/1000</f>
        <v>#N/A</v>
      </c>
      <c r="N19" s="129"/>
      <c r="O19" s="129"/>
      <c r="P19" s="129"/>
      <c r="Q19" s="129"/>
    </row>
    <row r="20" spans="1:17">
      <c r="A20" s="303"/>
      <c r="B20" s="303"/>
      <c r="C20" s="303"/>
      <c r="D20" s="309" t="s">
        <v>758</v>
      </c>
      <c r="E20" s="304">
        <v>201</v>
      </c>
      <c r="F20" s="306">
        <f>$E$20*$A$20</f>
        <v>0</v>
      </c>
      <c r="G20" s="319" t="e">
        <f>VLOOKUP(B20,Hoja6!$F$4:$M$16,3,FALSE)</f>
        <v>#N/A</v>
      </c>
      <c r="H20" s="306" t="e">
        <f>VLOOKUP(B20,Hoja6!$F$4:$M$16,4,FALSE)</f>
        <v>#N/A</v>
      </c>
      <c r="I20" s="306" t="e">
        <f>VLOOKUP(B20,Hoja6!$F$4:$M$16,5,FALSE)</f>
        <v>#N/A</v>
      </c>
      <c r="J20" s="306" t="e">
        <f>VLOOKUP(B20,Hoja6!$F$4:$M$16,6,FALSE)</f>
        <v>#N/A</v>
      </c>
      <c r="K20" s="306" t="e">
        <f>VLOOKUP(B20,Hoja6!$F$4:$M$16,7,FALSE)</f>
        <v>#N/A</v>
      </c>
      <c r="L20" s="316" t="e">
        <f t="shared" si="0"/>
        <v>#N/A</v>
      </c>
      <c r="M20" s="316" t="e">
        <f>('Cargas Nominales y Totales'!$M$9*'Cargas Nominales y Totales'!$M$9*'Calculo economico'!L20*'Calculo economico'!$D$4)/1000</f>
        <v>#N/A</v>
      </c>
      <c r="N20" s="129"/>
      <c r="O20" s="129"/>
      <c r="P20" s="129"/>
      <c r="Q20" s="129"/>
    </row>
    <row r="21" spans="1:17">
      <c r="A21" s="303"/>
      <c r="B21" s="303"/>
      <c r="C21" s="303"/>
      <c r="D21" s="309" t="s">
        <v>759</v>
      </c>
      <c r="E21" s="304">
        <v>240</v>
      </c>
      <c r="F21" s="306">
        <f>$E$21*$A$21</f>
        <v>0</v>
      </c>
      <c r="G21" s="319" t="e">
        <f>VLOOKUP(B21,Hoja6!$F$4:$M$16,3,FALSE)</f>
        <v>#N/A</v>
      </c>
      <c r="H21" s="306" t="e">
        <f>VLOOKUP(B21,Hoja6!$F$4:$M$16,4,FALSE)</f>
        <v>#N/A</v>
      </c>
      <c r="I21" s="306" t="e">
        <f>VLOOKUP(B21,Hoja6!$F$4:$M$16,5,FALSE)</f>
        <v>#N/A</v>
      </c>
      <c r="J21" s="306" t="e">
        <f>VLOOKUP(B21,Hoja6!$F$4:$M$16,6,FALSE)</f>
        <v>#N/A</v>
      </c>
      <c r="K21" s="306" t="e">
        <f>VLOOKUP(B21,Hoja6!$F$4:$M$16,7,FALSE)</f>
        <v>#N/A</v>
      </c>
      <c r="L21" s="316" t="e">
        <f t="shared" si="0"/>
        <v>#N/A</v>
      </c>
      <c r="M21" s="316" t="e">
        <f>('Cargas Nominales y Totales'!$M$9*'Cargas Nominales y Totales'!$M$9*'Calculo economico'!L21*'Calculo economico'!$D$4)/1000</f>
        <v>#N/A</v>
      </c>
      <c r="N21" s="129"/>
      <c r="O21" s="129"/>
      <c r="P21" s="129"/>
      <c r="Q21" s="129"/>
    </row>
    <row r="22" spans="1:17">
      <c r="A22" s="303"/>
      <c r="B22" s="303"/>
      <c r="C22" s="303"/>
      <c r="D22" s="304" t="s">
        <v>972</v>
      </c>
      <c r="E22" s="304">
        <v>297</v>
      </c>
      <c r="F22" s="306">
        <f>$E$22*$A$22</f>
        <v>0</v>
      </c>
      <c r="G22" s="319" t="e">
        <f>VLOOKUP(B22,Hoja6!$F$4:$M$16,3,FALSE)</f>
        <v>#N/A</v>
      </c>
      <c r="H22" s="306" t="e">
        <f>VLOOKUP(B22,Hoja6!$F$4:$M$16,4,FALSE)</f>
        <v>#N/A</v>
      </c>
      <c r="I22" s="306" t="e">
        <f>VLOOKUP(B22,Hoja6!$F$4:$M$16,5,FALSE)</f>
        <v>#N/A</v>
      </c>
      <c r="J22" s="306" t="e">
        <f>VLOOKUP(B22,Hoja6!$F$4:$M$16,6,FALSE)</f>
        <v>#N/A</v>
      </c>
      <c r="K22" s="306" t="e">
        <f>VLOOKUP(B22,Hoja6!$F$4:$M$16,7,FALSE)</f>
        <v>#N/A</v>
      </c>
      <c r="L22" s="316" t="e">
        <f t="shared" si="0"/>
        <v>#N/A</v>
      </c>
      <c r="M22" s="316" t="e">
        <f>('Cargas Nominales y Totales'!$M$9*'Cargas Nominales y Totales'!$M$9*'Calculo economico'!L22*'Calculo economico'!$D$4)/1000</f>
        <v>#N/A</v>
      </c>
      <c r="N22" s="129"/>
      <c r="O22" s="129"/>
      <c r="P22" s="129"/>
      <c r="Q22" s="129"/>
    </row>
    <row r="23" spans="1:17">
      <c r="A23" s="303"/>
      <c r="B23" s="303"/>
      <c r="C23" s="303"/>
      <c r="D23" s="304" t="s">
        <v>973</v>
      </c>
      <c r="E23" s="304">
        <v>341</v>
      </c>
      <c r="F23" s="306">
        <f>$E$23*$A$23</f>
        <v>0</v>
      </c>
      <c r="G23" s="319" t="e">
        <f>VLOOKUP(B23,Hoja6!$F$4:$M$16,3,FALSE)</f>
        <v>#N/A</v>
      </c>
      <c r="H23" s="306" t="e">
        <f>VLOOKUP(B23,Hoja6!$F$4:$M$16,4,FALSE)</f>
        <v>#N/A</v>
      </c>
      <c r="I23" s="306" t="e">
        <f>VLOOKUP(B23,Hoja6!$F$4:$M$16,5,FALSE)</f>
        <v>#N/A</v>
      </c>
      <c r="J23" s="306" t="e">
        <f>VLOOKUP(B23,Hoja6!$F$4:$M$16,6,FALSE)</f>
        <v>#N/A</v>
      </c>
      <c r="K23" s="306" t="e">
        <f>VLOOKUP(B23,Hoja6!$F$4:$M$16,7,FALSE)</f>
        <v>#N/A</v>
      </c>
      <c r="L23" s="316" t="e">
        <f t="shared" si="0"/>
        <v>#N/A</v>
      </c>
      <c r="M23" s="316" t="e">
        <f>('Cargas Nominales y Totales'!$M$9*'Cargas Nominales y Totales'!$M$9*'Calculo economico'!L23*'Calculo economico'!$D$4)/1000</f>
        <v>#N/A</v>
      </c>
      <c r="N23" s="129"/>
      <c r="O23" s="129"/>
      <c r="P23" s="129"/>
      <c r="Q23" s="129"/>
    </row>
    <row r="24" spans="1:17">
      <c r="A24" s="303"/>
      <c r="B24" s="303"/>
      <c r="C24" s="303"/>
      <c r="D24" s="304" t="s">
        <v>974</v>
      </c>
      <c r="E24" s="304">
        <v>384</v>
      </c>
      <c r="F24" s="306">
        <f>$E$24*$A$24</f>
        <v>0</v>
      </c>
      <c r="G24" s="319" t="e">
        <f>VLOOKUP(B24,Hoja6!$F$4:$M$16,3,FALSE)</f>
        <v>#N/A</v>
      </c>
      <c r="H24" s="306" t="e">
        <f>VLOOKUP(B24,Hoja6!$F$4:$M$16,4,FALSE)</f>
        <v>#N/A</v>
      </c>
      <c r="I24" s="306" t="e">
        <f>VLOOKUP(B24,Hoja6!$F$4:$M$16,5,FALSE)</f>
        <v>#N/A</v>
      </c>
      <c r="J24" s="306" t="e">
        <f>VLOOKUP(B24,Hoja6!$F$4:$M$16,6,FALSE)</f>
        <v>#N/A</v>
      </c>
      <c r="K24" s="306" t="e">
        <f>VLOOKUP(B24,Hoja6!$F$4:$M$16,7,FALSE)</f>
        <v>#N/A</v>
      </c>
      <c r="L24" s="316" t="e">
        <f t="shared" si="0"/>
        <v>#N/A</v>
      </c>
      <c r="M24" s="316" t="e">
        <f>('Cargas Nominales y Totales'!$M$9*'Cargas Nominales y Totales'!$M$9*'Calculo economico'!L24*'Calculo economico'!$D$4)/1000</f>
        <v>#N/A</v>
      </c>
      <c r="N24" s="129"/>
      <c r="O24" s="129"/>
      <c r="P24" s="129"/>
      <c r="Q24" s="129"/>
    </row>
    <row r="25" spans="1:17">
      <c r="A25" s="303"/>
      <c r="B25" s="303"/>
      <c r="C25" s="303"/>
      <c r="D25" s="304" t="s">
        <v>975</v>
      </c>
      <c r="E25" s="304">
        <v>427</v>
      </c>
      <c r="F25" s="306">
        <f>$E$25*$A$25</f>
        <v>0</v>
      </c>
      <c r="G25" s="319" t="e">
        <f>VLOOKUP(B25,Hoja6!$F$4:$M$16,3,FALSE)</f>
        <v>#N/A</v>
      </c>
      <c r="H25" s="306" t="e">
        <f>VLOOKUP(B25,Hoja6!$F$4:$M$16,4,FALSE)</f>
        <v>#N/A</v>
      </c>
      <c r="I25" s="306" t="e">
        <f>VLOOKUP(B25,Hoja6!$F$4:$M$16,5,FALSE)</f>
        <v>#N/A</v>
      </c>
      <c r="J25" s="306" t="e">
        <f>VLOOKUP(B25,Hoja6!$F$4:$M$16,6,FALSE)</f>
        <v>#N/A</v>
      </c>
      <c r="K25" s="306" t="e">
        <f>VLOOKUP(B25,Hoja6!$F$4:$M$16,7,FALSE)</f>
        <v>#N/A</v>
      </c>
      <c r="L25" s="316" t="e">
        <f t="shared" si="0"/>
        <v>#N/A</v>
      </c>
      <c r="M25" s="316" t="e">
        <f>('Cargas Nominales y Totales'!$M$9*'Cargas Nominales y Totales'!$M$9*'Calculo economico'!L25*'Calculo economico'!$D$4)/1000</f>
        <v>#N/A</v>
      </c>
      <c r="N25" s="129"/>
      <c r="O25" s="129"/>
      <c r="P25" s="129"/>
      <c r="Q25" s="129"/>
    </row>
    <row r="26" spans="1:17">
      <c r="A26" s="303"/>
      <c r="B26" s="303"/>
      <c r="C26" s="303"/>
      <c r="D26" s="304" t="s">
        <v>976</v>
      </c>
      <c r="E26" s="304">
        <v>510</v>
      </c>
      <c r="F26" s="306">
        <f>$E$26*$A$26</f>
        <v>0</v>
      </c>
      <c r="G26" s="319" t="e">
        <f>VLOOKUP(B26,Hoja6!$F$4:$M$16,3,FALSE)</f>
        <v>#N/A</v>
      </c>
      <c r="H26" s="306" t="e">
        <f>VLOOKUP(B26,Hoja6!$F$4:$M$16,4,FALSE)</f>
        <v>#N/A</v>
      </c>
      <c r="I26" s="306" t="e">
        <f>VLOOKUP(B26,Hoja6!$F$4:$M$16,5,FALSE)</f>
        <v>#N/A</v>
      </c>
      <c r="J26" s="306" t="e">
        <f>VLOOKUP(B26,Hoja6!$F$4:$M$16,6,FALSE)</f>
        <v>#N/A</v>
      </c>
      <c r="K26" s="306" t="e">
        <f>VLOOKUP(B26,Hoja6!$F$4:$M$16,7,FALSE)</f>
        <v>#N/A</v>
      </c>
      <c r="L26" s="316" t="e">
        <f t="shared" si="0"/>
        <v>#N/A</v>
      </c>
      <c r="M26" s="316" t="e">
        <f>('Cargas Nominales y Totales'!$M$9*'Cargas Nominales y Totales'!$M$9*'Calculo economico'!L26*'Calculo economico'!$D$4)/1000</f>
        <v>#N/A</v>
      </c>
      <c r="N26" s="129"/>
      <c r="O26" s="129"/>
      <c r="P26" s="129"/>
      <c r="Q26" s="129"/>
    </row>
    <row r="27" spans="1:17">
      <c r="A27" s="303"/>
      <c r="B27" s="303"/>
      <c r="C27" s="303"/>
      <c r="D27" s="304" t="s">
        <v>977</v>
      </c>
      <c r="E27" s="304">
        <v>628</v>
      </c>
      <c r="F27" s="306">
        <f>$E$27*$A$27</f>
        <v>0</v>
      </c>
      <c r="G27" s="319" t="e">
        <f>VLOOKUP(B27,Hoja6!$F$4:$M$16,3,FALSE)</f>
        <v>#N/A</v>
      </c>
      <c r="H27" s="306" t="e">
        <f>VLOOKUP(B27,Hoja6!$F$4:$M$16,4,FALSE)</f>
        <v>#N/A</v>
      </c>
      <c r="I27" s="306" t="e">
        <f>VLOOKUP(B27,Hoja6!$F$4:$M$16,5,FALSE)</f>
        <v>#N/A</v>
      </c>
      <c r="J27" s="306" t="e">
        <f>VLOOKUP(B27,Hoja6!$F$4:$M$16,6,FALSE)</f>
        <v>#N/A</v>
      </c>
      <c r="K27" s="306" t="e">
        <f>VLOOKUP(B27,Hoja6!$F$4:$M$16,7,FALSE)</f>
        <v>#N/A</v>
      </c>
      <c r="L27" s="316" t="e">
        <f t="shared" si="0"/>
        <v>#N/A</v>
      </c>
      <c r="M27" s="316" t="e">
        <f>('Cargas Nominales y Totales'!$M$9*'Cargas Nominales y Totales'!$M$9*'Calculo economico'!L27*'Calculo economico'!$D$4)/1000</f>
        <v>#N/A</v>
      </c>
      <c r="N27" s="129"/>
      <c r="O27" s="129"/>
      <c r="P27" s="129"/>
      <c r="Q27" s="129"/>
    </row>
    <row r="28" spans="1:17">
      <c r="A28" s="303"/>
      <c r="B28" s="303"/>
      <c r="C28" s="303"/>
      <c r="D28" s="304" t="s">
        <v>978</v>
      </c>
      <c r="E28" s="304">
        <v>752</v>
      </c>
      <c r="F28" s="306">
        <f>$E$28*$A$28</f>
        <v>0</v>
      </c>
      <c r="G28" s="319" t="e">
        <f>VLOOKUP(B28,Hoja6!$F$4:$M$16,3,FALSE)</f>
        <v>#N/A</v>
      </c>
      <c r="H28" s="306" t="e">
        <f>VLOOKUP(B28,Hoja6!$F$4:$M$16,4,FALSE)</f>
        <v>#N/A</v>
      </c>
      <c r="I28" s="306" t="e">
        <f>VLOOKUP(B28,Hoja6!$F$4:$M$16,5,FALSE)</f>
        <v>#N/A</v>
      </c>
      <c r="J28" s="306" t="e">
        <f>VLOOKUP(B28,Hoja6!$F$4:$M$16,6,FALSE)</f>
        <v>#N/A</v>
      </c>
      <c r="K28" s="306" t="e">
        <f>VLOOKUP(B28,Hoja6!$F$4:$M$16,7,FALSE)</f>
        <v>#N/A</v>
      </c>
      <c r="L28" s="418" t="s">
        <v>979</v>
      </c>
      <c r="M28" s="418"/>
      <c r="N28" s="418"/>
      <c r="O28" s="418"/>
      <c r="P28" s="418"/>
      <c r="Q28" s="418"/>
    </row>
    <row r="29" spans="1:17">
      <c r="A29" s="303"/>
      <c r="B29" s="303"/>
      <c r="C29" s="303"/>
      <c r="D29" s="304" t="s">
        <v>980</v>
      </c>
      <c r="E29" s="304">
        <v>954</v>
      </c>
      <c r="F29" s="306">
        <f>$E$29*$A$29</f>
        <v>0</v>
      </c>
      <c r="G29" s="319" t="e">
        <f>VLOOKUP(B29,Hoja6!$F$4:$M$16,3,FALSE)</f>
        <v>#N/A</v>
      </c>
      <c r="H29" s="306" t="e">
        <f>VLOOKUP(B29,Hoja6!$F$4:$M$16,4,FALSE)</f>
        <v>#N/A</v>
      </c>
      <c r="I29" s="306" t="e">
        <f>VLOOKUP(B29,Hoja6!$F$4:$M$16,5,FALSE)</f>
        <v>#N/A</v>
      </c>
      <c r="J29" s="306" t="e">
        <f>VLOOKUP(B29,Hoja6!$F$4:$M$16,6,FALSE)</f>
        <v>#N/A</v>
      </c>
      <c r="K29" s="306" t="e">
        <f>VLOOKUP(B29,Hoja6!$F$4:$M$16,7,FALSE)</f>
        <v>#N/A</v>
      </c>
      <c r="L29" s="418" t="s">
        <v>981</v>
      </c>
      <c r="M29" s="418"/>
      <c r="N29" s="418"/>
      <c r="O29" s="418"/>
      <c r="P29" s="418"/>
      <c r="Q29" s="418"/>
    </row>
    <row r="30" spans="1:17" ht="15.75" thickBot="1">
      <c r="A30" s="310"/>
      <c r="B30" s="303"/>
      <c r="C30" s="310"/>
      <c r="D30" s="429" t="s">
        <v>982</v>
      </c>
      <c r="E30" s="430"/>
      <c r="F30" s="19">
        <f t="shared" ref="F30:I30" si="1">SUM(F9:F29)</f>
        <v>0</v>
      </c>
      <c r="G30" s="19" t="e">
        <f t="shared" si="1"/>
        <v>#N/A</v>
      </c>
      <c r="H30" s="19" t="e">
        <f t="shared" si="1"/>
        <v>#N/A</v>
      </c>
      <c r="I30" s="19" t="e">
        <f t="shared" si="1"/>
        <v>#N/A</v>
      </c>
      <c r="J30" s="306" t="e">
        <f>VLOOKUP(B30,Hoja6!$F$4:$M$16,6,FALSE)</f>
        <v>#N/A</v>
      </c>
      <c r="K30" s="306" t="e">
        <f>VLOOKUP(B30,Hoja6!$F$4:$M$16,7,FALSE)</f>
        <v>#N/A</v>
      </c>
      <c r="L30" s="418" t="s">
        <v>983</v>
      </c>
      <c r="M30" s="418"/>
      <c r="N30" s="418"/>
      <c r="O30" s="418"/>
      <c r="P30" s="418"/>
      <c r="Q30" s="418"/>
    </row>
    <row r="31" spans="1:17">
      <c r="A31" s="431"/>
      <c r="B31" s="313"/>
      <c r="C31" s="313"/>
      <c r="D31" s="433" t="s">
        <v>984</v>
      </c>
      <c r="E31" s="434"/>
      <c r="F31" s="311" t="str">
        <f>IF(F30&lt;=78,"13mm",IF(F30&lt;=137,"19mm",IF(F30&lt;=222,"25mm",IF(F30&lt;=387,"32mm",IF(F30&lt;=526,"38mm",IF(F30&lt;=867,"51",IF(F30&lt;=1236,"63mm",IF(F30&lt;=1904,"75mm","F DE R "))))))))</f>
        <v>13mm</v>
      </c>
      <c r="G31" s="312" t="e">
        <f>IF(G30&lt;=78,"13mm",IF(G30&lt;=137,"19mm",IF(G30&lt;=222,"25mm",IF(G30&lt;=387,"32mm",IF(G30&lt;=526,"38mm",IF(G30&lt;=867,"51",IF(G30&lt;=1236,"63mm",IF(G30&lt;=1904,"75mm","F DE R "))))))))</f>
        <v>#N/A</v>
      </c>
      <c r="H31" s="312" t="e">
        <f>IF(H30&lt;=78,"13mm",IF(H30&lt;=137,"19mm",IF(H30&lt;=222,"25mm",IF(H30&lt;=387,"32mm",IF(H30&lt;=526,"38mm",IF(H30&lt;=867,"51",IF(H30&lt;=1236,"63mm",IF(H30&lt;=1904,"75mm","F DE R "))))))))</f>
        <v>#N/A</v>
      </c>
      <c r="I31" s="312" t="e">
        <f>IF(I30&lt;=78,"13mm",IF(I30&lt;=142,"19mm",IF(I30&lt;=222,"25mm",IF(I30&lt;=398,"32mm",IF(I30&lt;=528,"38mm",IF(I30&lt;=872,"51","F DE R "))))))</f>
        <v>#N/A</v>
      </c>
      <c r="J31" s="312" t="e">
        <f>IF(J30&lt;=106,"13mm",IF(J30&lt;=178,"19mm",IF(J30&lt;=292,"25mm",IF(J30&lt;=480,"32mm",IF(J30&lt;=627,"38mm",IF(J30&lt;=981,"51",IF(J30&lt;=1434,"60mm",IF(J30&lt;=2200,"75mm","F DE R "))))))))</f>
        <v>#N/A</v>
      </c>
      <c r="K31" s="312" t="e">
        <f>IF(K30&lt;=222,"25mm",IF(K30&lt;=411,"38mm",IF(K30&lt;=670,"50mm",IF(K30&lt;=1587,"75mm",IF(K30&lt;=3058,"100mm",IF(K30&lt;=7350,"150","F DE R "))))))</f>
        <v>#N/A</v>
      </c>
      <c r="L31" s="418" t="s">
        <v>985</v>
      </c>
      <c r="M31" s="418"/>
      <c r="N31" s="418"/>
      <c r="O31" s="418"/>
      <c r="P31" s="418"/>
      <c r="Q31" s="418"/>
    </row>
    <row r="32" spans="1:17" ht="15.75" thickBot="1">
      <c r="A32" s="432"/>
      <c r="B32" s="313"/>
      <c r="C32" s="313"/>
      <c r="D32" s="435"/>
      <c r="E32" s="436"/>
      <c r="F32" s="311" t="str">
        <f>IF(F30&lt;1904," ",IF(F30&lt;=2555,"91mm",IF(F30&lt;=3282,"102mm",IF(F30&lt;=5163,"129mm",IF(F30&lt;=7456,"155mm","F DE R")))))</f>
        <v xml:space="preserve"> </v>
      </c>
      <c r="G32" s="312" t="e">
        <f>IF(G30&lt;1904," ",IF(G30&lt;=2555,"91mm",IF(G30&lt;=3282,"102mm",IF(G30&lt;=5163,"129mm",IF(G30&lt;=7456,"155mm","F DE R")))))</f>
        <v>#N/A</v>
      </c>
      <c r="H32" s="312" t="e">
        <f>IF(H30&lt;1904," ",IF(H30&lt;=2555,"91mm",IF(H30&lt;=3282,"102mm",IF(H30&lt;=5163,"129mm",IF(H30&lt;=7456,"155mm","F DE R")))))</f>
        <v>#N/A</v>
      </c>
      <c r="I32" s="312"/>
      <c r="J32" s="312" t="e">
        <f>IF(J30&lt;2200," ",IF(J30&lt;=3726,"100mm","F DE R"))</f>
        <v>#N/A</v>
      </c>
      <c r="K32" s="312"/>
      <c r="L32" s="129"/>
      <c r="M32" s="129"/>
      <c r="N32" s="129"/>
      <c r="O32" s="129"/>
      <c r="P32" s="129"/>
      <c r="Q32" s="129"/>
    </row>
  </sheetData>
  <mergeCells count="12">
    <mergeCell ref="L29:Q29"/>
    <mergeCell ref="D30:E30"/>
    <mergeCell ref="L30:Q30"/>
    <mergeCell ref="A31:A32"/>
    <mergeCell ref="D31:E32"/>
    <mergeCell ref="L31:Q31"/>
    <mergeCell ref="L28:Q28"/>
    <mergeCell ref="A1:G1"/>
    <mergeCell ref="I1:O1"/>
    <mergeCell ref="A2:G2"/>
    <mergeCell ref="H2:J2"/>
    <mergeCell ref="A5:K5"/>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0000000}">
          <x14:formula1>
            <xm:f>Hoja6!$F$4:$F$16</xm:f>
          </x14:formula1>
          <xm:sqref>B8:B30 C8</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3"/>
  <dimension ref="A1:AF39"/>
  <sheetViews>
    <sheetView topLeftCell="A31" workbookViewId="0">
      <selection activeCell="I4" sqref="I4"/>
    </sheetView>
  </sheetViews>
  <sheetFormatPr baseColWidth="10" defaultRowHeight="15"/>
  <cols>
    <col min="1" max="1" width="57.7109375" customWidth="1"/>
    <col min="2" max="2" width="15.85546875" customWidth="1"/>
    <col min="3" max="3" width="15" customWidth="1"/>
    <col min="6" max="6" width="50.7109375" customWidth="1"/>
    <col min="7" max="7" width="38.85546875" customWidth="1"/>
    <col min="8" max="8" width="32.7109375" customWidth="1"/>
    <col min="9" max="9" width="18.5703125" customWidth="1"/>
    <col min="10" max="10" width="22.7109375" customWidth="1"/>
    <col min="11" max="11" width="18.28515625" customWidth="1"/>
    <col min="12" max="12" width="28.85546875" customWidth="1"/>
    <col min="16" max="16" width="11.5703125" bestFit="1" customWidth="1"/>
    <col min="17" max="17" width="12.5703125" bestFit="1" customWidth="1"/>
    <col min="18" max="20" width="11.5703125" bestFit="1" customWidth="1"/>
    <col min="25" max="25" width="2.140625" customWidth="1"/>
    <col min="26" max="26" width="27.85546875" customWidth="1"/>
  </cols>
  <sheetData>
    <row r="1" spans="1:32">
      <c r="A1" s="15" t="s">
        <v>670</v>
      </c>
      <c r="B1" s="15" t="s">
        <v>671</v>
      </c>
      <c r="C1" s="15" t="s">
        <v>672</v>
      </c>
    </row>
    <row r="2" spans="1:32" ht="18">
      <c r="A2" s="2">
        <v>50</v>
      </c>
      <c r="B2" s="11">
        <f>(1000+(6*'Mallas Cuadradas o Rectangulare'!F12*'Mallas Cuadradas o Rectangulare'!F10))*((0.116)/SQRT('Mallas Cuadradas o Rectangulare'!E33))</f>
        <v>3954.0736384754032</v>
      </c>
      <c r="C2" s="11">
        <f>(1000+(1.5*'Mallas Cuadradas o Rectangulare'!F12*'Mallas Cuadradas o Rectangulare'!F10))*((0.116)/SQRT('Mallas Cuadradas o Rectangulare'!E33))</f>
        <v>1111.55498954531</v>
      </c>
      <c r="F2" s="446" t="s">
        <v>617</v>
      </c>
      <c r="G2" s="447"/>
      <c r="H2" s="447"/>
      <c r="I2" s="447"/>
      <c r="J2" s="447"/>
      <c r="K2" s="447"/>
      <c r="L2" s="448"/>
    </row>
    <row r="3" spans="1:32" ht="45">
      <c r="A3" s="2">
        <v>70</v>
      </c>
      <c r="B3" s="11">
        <f>(1000+(6*'Mallas Cuadradas o Rectangulare'!F12*'Mallas Cuadradas o Rectangulare'!F10))*((0.157)/SQRT('Mallas Cuadradas o Rectangulare'!E33))</f>
        <v>5351.6341486261927</v>
      </c>
      <c r="C3" s="11">
        <f>(1000+(1.5*'Mallas Cuadradas o Rectangulare'!F12*'Mallas Cuadradas o Rectangulare'!F10))*((0.157)/SQRT('Mallas Cuadradas o Rectangulare'!E33))</f>
        <v>1504.43218412598</v>
      </c>
      <c r="F3" s="67" t="s">
        <v>618</v>
      </c>
      <c r="G3" s="67" t="s">
        <v>619</v>
      </c>
      <c r="H3" s="67" t="s">
        <v>620</v>
      </c>
      <c r="I3" s="67" t="s">
        <v>621</v>
      </c>
      <c r="J3" s="67" t="s">
        <v>622</v>
      </c>
      <c r="K3" s="99" t="s">
        <v>623</v>
      </c>
      <c r="L3" s="67" t="s">
        <v>624</v>
      </c>
      <c r="M3" s="131" t="s">
        <v>741</v>
      </c>
      <c r="P3" s="10" t="s">
        <v>817</v>
      </c>
      <c r="Q3" s="337" t="s">
        <v>815</v>
      </c>
      <c r="R3" s="337"/>
      <c r="S3" s="456" t="s">
        <v>816</v>
      </c>
      <c r="T3" s="456"/>
      <c r="Z3" s="441" t="s">
        <v>744</v>
      </c>
      <c r="AA3" s="437" t="s">
        <v>745</v>
      </c>
      <c r="AB3" s="438"/>
      <c r="AC3" s="441" t="s">
        <v>746</v>
      </c>
      <c r="AD3" s="134" t="s">
        <v>747</v>
      </c>
      <c r="AE3" s="134" t="s">
        <v>748</v>
      </c>
      <c r="AF3" s="135" t="s">
        <v>749</v>
      </c>
    </row>
    <row r="4" spans="1:32">
      <c r="A4" s="2">
        <v>2</v>
      </c>
      <c r="B4" s="2"/>
      <c r="C4" s="2"/>
      <c r="F4" s="34" t="s">
        <v>625</v>
      </c>
      <c r="G4" s="10">
        <v>100</v>
      </c>
      <c r="H4" s="10">
        <v>3.9300000000000003E-3</v>
      </c>
      <c r="I4" s="10">
        <v>234</v>
      </c>
      <c r="J4" s="10">
        <v>1083</v>
      </c>
      <c r="K4" s="10">
        <v>1.72</v>
      </c>
      <c r="L4" s="10">
        <v>3.42</v>
      </c>
      <c r="M4" s="132">
        <v>7</v>
      </c>
      <c r="P4" s="10" t="s">
        <v>818</v>
      </c>
      <c r="Q4" s="10" t="s">
        <v>819</v>
      </c>
      <c r="R4" s="10" t="s">
        <v>820</v>
      </c>
      <c r="S4" s="10" t="s">
        <v>821</v>
      </c>
      <c r="T4" s="10" t="s">
        <v>822</v>
      </c>
      <c r="Z4" s="455"/>
      <c r="AA4" s="439"/>
      <c r="AB4" s="440"/>
      <c r="AC4" s="442"/>
      <c r="AD4" s="136" t="s">
        <v>750</v>
      </c>
      <c r="AE4" s="136" t="s">
        <v>751</v>
      </c>
      <c r="AF4" s="137" t="s">
        <v>752</v>
      </c>
    </row>
    <row r="5" spans="1:32">
      <c r="F5" s="15" t="s">
        <v>626</v>
      </c>
      <c r="G5" s="10">
        <v>97</v>
      </c>
      <c r="H5" s="10">
        <v>3.81E-3</v>
      </c>
      <c r="I5" s="10">
        <v>242</v>
      </c>
      <c r="J5" s="10">
        <v>1084</v>
      </c>
      <c r="K5" s="10">
        <v>1.78</v>
      </c>
      <c r="L5" s="10">
        <v>3.42</v>
      </c>
      <c r="M5" s="132">
        <v>7.06</v>
      </c>
      <c r="P5" s="173">
        <v>20</v>
      </c>
      <c r="Q5" s="173">
        <v>1022</v>
      </c>
      <c r="R5" s="173">
        <v>0.51800000000000002</v>
      </c>
      <c r="S5" s="174">
        <v>3.2000000000000001E-2</v>
      </c>
      <c r="T5" s="174">
        <v>0.81200000000000006</v>
      </c>
      <c r="U5" s="70"/>
      <c r="V5" s="70"/>
      <c r="Z5" s="442"/>
      <c r="AA5" s="138" t="s">
        <v>753</v>
      </c>
      <c r="AB5" s="138" t="s">
        <v>754</v>
      </c>
      <c r="AC5" s="138" t="s">
        <v>740</v>
      </c>
      <c r="AD5" s="138" t="s">
        <v>740</v>
      </c>
      <c r="AE5" s="138" t="s">
        <v>740</v>
      </c>
      <c r="AF5" s="139" t="s">
        <v>755</v>
      </c>
    </row>
    <row r="6" spans="1:32">
      <c r="F6" s="15" t="s">
        <v>627</v>
      </c>
      <c r="G6" s="10">
        <v>40</v>
      </c>
      <c r="H6" s="10">
        <v>3.7799999999999999E-3</v>
      </c>
      <c r="I6" s="10">
        <v>245</v>
      </c>
      <c r="J6" s="10">
        <v>1084</v>
      </c>
      <c r="K6" s="10">
        <v>4.4000000000000004</v>
      </c>
      <c r="L6" s="10">
        <v>3.85</v>
      </c>
      <c r="M6" s="132">
        <v>10.45</v>
      </c>
      <c r="P6" s="173">
        <v>18</v>
      </c>
      <c r="Q6" s="173">
        <v>1824</v>
      </c>
      <c r="R6" s="173">
        <v>0.82299999999999995</v>
      </c>
      <c r="S6" s="174">
        <v>0.04</v>
      </c>
      <c r="T6" s="174">
        <v>1.024</v>
      </c>
      <c r="U6" s="70"/>
      <c r="V6" s="70"/>
      <c r="Z6" s="140" t="s">
        <v>756</v>
      </c>
      <c r="AA6" s="141">
        <v>105.6</v>
      </c>
      <c r="AB6" s="141">
        <v>53.49</v>
      </c>
      <c r="AC6" s="141">
        <v>7</v>
      </c>
      <c r="AD6" s="141">
        <v>3.12</v>
      </c>
      <c r="AE6" s="141">
        <v>9.35</v>
      </c>
      <c r="AF6" s="141">
        <v>485</v>
      </c>
    </row>
    <row r="7" spans="1:32" ht="15.75" thickBot="1">
      <c r="A7" s="2" t="s">
        <v>673</v>
      </c>
      <c r="B7" s="2" t="s">
        <v>674</v>
      </c>
      <c r="F7" s="15" t="s">
        <v>627</v>
      </c>
      <c r="G7" s="10">
        <v>30</v>
      </c>
      <c r="H7" s="10">
        <v>3.7799999999999999E-3</v>
      </c>
      <c r="I7" s="10">
        <v>245</v>
      </c>
      <c r="J7" s="10">
        <v>1084</v>
      </c>
      <c r="K7" s="10">
        <v>5.86</v>
      </c>
      <c r="L7" s="10">
        <v>3.85</v>
      </c>
      <c r="M7" s="133">
        <v>12.06</v>
      </c>
      <c r="P7" s="173">
        <v>16</v>
      </c>
      <c r="Q7" s="173">
        <v>2583</v>
      </c>
      <c r="R7" s="173">
        <v>1.3089999999999999</v>
      </c>
      <c r="S7" s="174">
        <v>5.0999999999999997E-2</v>
      </c>
      <c r="T7" s="174">
        <v>1.2909999999999999</v>
      </c>
      <c r="U7" s="70"/>
      <c r="V7" s="70"/>
      <c r="Z7" s="133" t="s">
        <v>757</v>
      </c>
      <c r="AA7" s="132">
        <v>133.1</v>
      </c>
      <c r="AB7" s="132">
        <v>67.430000000000007</v>
      </c>
      <c r="AC7" s="132">
        <v>7</v>
      </c>
      <c r="AD7" s="132">
        <v>3.5</v>
      </c>
      <c r="AE7" s="132">
        <v>10.5</v>
      </c>
      <c r="AF7" s="132">
        <v>611</v>
      </c>
    </row>
    <row r="8" spans="1:32">
      <c r="A8" s="2" t="s">
        <v>675</v>
      </c>
      <c r="B8" s="2">
        <v>450</v>
      </c>
      <c r="D8" s="170" t="s">
        <v>802</v>
      </c>
      <c r="F8" s="15" t="s">
        <v>628</v>
      </c>
      <c r="G8" s="10">
        <v>20</v>
      </c>
      <c r="H8" s="10">
        <v>3.7799999999999999E-3</v>
      </c>
      <c r="I8" s="10">
        <v>245</v>
      </c>
      <c r="J8" s="10">
        <v>1084</v>
      </c>
      <c r="K8" s="10">
        <v>8.6199999999999992</v>
      </c>
      <c r="L8" s="10">
        <v>3.85</v>
      </c>
      <c r="M8" s="133">
        <v>14.64</v>
      </c>
      <c r="P8" s="173">
        <v>14</v>
      </c>
      <c r="Q8" s="173">
        <v>4107</v>
      </c>
      <c r="R8" s="173">
        <v>2.08</v>
      </c>
      <c r="S8" s="174">
        <v>6.4000000000000001E-2</v>
      </c>
      <c r="T8" s="174">
        <v>1.6279999999999999</v>
      </c>
      <c r="U8" s="70"/>
      <c r="V8" s="70"/>
      <c r="Z8" s="133" t="s">
        <v>758</v>
      </c>
      <c r="AA8" s="132">
        <v>167.8</v>
      </c>
      <c r="AB8" s="132">
        <v>85.01</v>
      </c>
      <c r="AC8" s="132">
        <v>7</v>
      </c>
      <c r="AD8" s="132">
        <v>3.93</v>
      </c>
      <c r="AE8" s="132">
        <v>11.8</v>
      </c>
      <c r="AF8" s="132">
        <v>771</v>
      </c>
    </row>
    <row r="9" spans="1:32">
      <c r="A9" s="2" t="s">
        <v>676</v>
      </c>
      <c r="B9" s="2">
        <v>250</v>
      </c>
      <c r="D9" s="165">
        <f>D13*E13</f>
        <v>5.8373285638127967</v>
      </c>
      <c r="F9" s="15" t="s">
        <v>629</v>
      </c>
      <c r="G9" s="10">
        <v>61</v>
      </c>
      <c r="H9" s="10">
        <v>4.0299999999999997E-3</v>
      </c>
      <c r="I9" s="10">
        <v>228</v>
      </c>
      <c r="J9" s="10">
        <v>657</v>
      </c>
      <c r="K9" s="10">
        <v>2.86</v>
      </c>
      <c r="L9" s="10">
        <v>2.56</v>
      </c>
      <c r="M9" s="133">
        <v>12.12</v>
      </c>
      <c r="P9" s="173">
        <v>12</v>
      </c>
      <c r="Q9" s="173">
        <v>6530</v>
      </c>
      <c r="R9" s="173">
        <v>3.31</v>
      </c>
      <c r="S9" s="174">
        <v>8.1000000000000003E-2</v>
      </c>
      <c r="T9" s="174">
        <v>2.0529999999999999</v>
      </c>
      <c r="U9" s="70"/>
      <c r="V9" s="70"/>
      <c r="Z9" s="133" t="s">
        <v>759</v>
      </c>
      <c r="AA9" s="132">
        <v>211.6</v>
      </c>
      <c r="AB9" s="132">
        <v>107.22</v>
      </c>
      <c r="AC9" s="132">
        <v>7</v>
      </c>
      <c r="AD9" s="132">
        <v>4.42</v>
      </c>
      <c r="AE9" s="132">
        <v>13.3</v>
      </c>
      <c r="AF9" s="132">
        <v>972</v>
      </c>
    </row>
    <row r="10" spans="1:32" ht="15.75" thickBot="1">
      <c r="A10" s="2">
        <v>1</v>
      </c>
      <c r="B10" s="2"/>
      <c r="D10" s="166"/>
      <c r="F10" s="15" t="s">
        <v>630</v>
      </c>
      <c r="G10" s="10">
        <v>53.5</v>
      </c>
      <c r="H10" s="10">
        <v>3.5300000000000002E-3</v>
      </c>
      <c r="I10" s="10">
        <v>263</v>
      </c>
      <c r="J10" s="10">
        <v>652</v>
      </c>
      <c r="K10" s="10">
        <v>3.22</v>
      </c>
      <c r="L10" s="10">
        <v>2.6</v>
      </c>
      <c r="M10" s="133">
        <v>12.41</v>
      </c>
      <c r="P10" s="173">
        <v>10</v>
      </c>
      <c r="Q10" s="173">
        <v>10380</v>
      </c>
      <c r="R10" s="173">
        <v>5.26</v>
      </c>
      <c r="S10" s="174">
        <v>0.10199999999999999</v>
      </c>
      <c r="T10" s="174">
        <v>2.5880000000000001</v>
      </c>
      <c r="U10" s="70"/>
      <c r="V10" s="70"/>
      <c r="Z10" s="133">
        <v>250</v>
      </c>
      <c r="AA10" s="132">
        <v>250</v>
      </c>
      <c r="AB10" s="132">
        <v>127</v>
      </c>
      <c r="AC10" s="132">
        <v>12</v>
      </c>
      <c r="AD10" s="132">
        <v>3.67</v>
      </c>
      <c r="AE10" s="132">
        <v>15.2</v>
      </c>
      <c r="AF10" s="132">
        <v>1149</v>
      </c>
    </row>
    <row r="11" spans="1:32">
      <c r="F11" s="15" t="s">
        <v>631</v>
      </c>
      <c r="G11" s="10">
        <v>52.5</v>
      </c>
      <c r="H11" s="10">
        <v>3.47E-3</v>
      </c>
      <c r="I11" s="10">
        <v>268</v>
      </c>
      <c r="J11" s="10">
        <v>654</v>
      </c>
      <c r="K11" s="10">
        <v>3.28</v>
      </c>
      <c r="L11" s="10">
        <v>2.6</v>
      </c>
      <c r="M11" s="133">
        <v>12.47</v>
      </c>
      <c r="P11" s="173">
        <v>8</v>
      </c>
      <c r="Q11" s="173">
        <v>16510</v>
      </c>
      <c r="R11" s="173">
        <v>8.3699999999999992</v>
      </c>
      <c r="S11" s="174">
        <v>0.129</v>
      </c>
      <c r="T11" s="174">
        <v>3.2639999999999998</v>
      </c>
      <c r="U11" s="70"/>
      <c r="V11" s="70"/>
      <c r="Z11" s="133">
        <v>300</v>
      </c>
      <c r="AA11" s="132">
        <v>300</v>
      </c>
      <c r="AB11" s="132">
        <v>152</v>
      </c>
      <c r="AC11" s="132">
        <v>12</v>
      </c>
      <c r="AD11" s="132">
        <v>4.0199999999999996</v>
      </c>
      <c r="AE11" s="132">
        <v>16.7</v>
      </c>
      <c r="AF11" s="132">
        <v>1378</v>
      </c>
    </row>
    <row r="12" spans="1:32">
      <c r="F12" s="15" t="s">
        <v>632</v>
      </c>
      <c r="G12" s="10">
        <v>20.3</v>
      </c>
      <c r="H12" s="10">
        <v>3.5999999999999999E-3</v>
      </c>
      <c r="I12" s="10">
        <v>258</v>
      </c>
      <c r="J12" s="10">
        <v>657</v>
      </c>
      <c r="K12" s="10">
        <v>8.48</v>
      </c>
      <c r="L12" s="10">
        <v>3.58</v>
      </c>
      <c r="M12" s="133">
        <v>17.2</v>
      </c>
      <c r="P12" s="173">
        <v>6</v>
      </c>
      <c r="Q12" s="173">
        <v>26250</v>
      </c>
      <c r="R12" s="173">
        <v>13.3</v>
      </c>
      <c r="S12" s="174">
        <v>0.16200000000000001</v>
      </c>
      <c r="T12" s="174">
        <v>4.1150000000000002</v>
      </c>
      <c r="U12" s="70"/>
      <c r="V12" s="70"/>
      <c r="Z12" s="133">
        <v>350</v>
      </c>
      <c r="AA12" s="132">
        <v>350</v>
      </c>
      <c r="AB12" s="132">
        <v>177</v>
      </c>
      <c r="AC12" s="132">
        <v>12</v>
      </c>
      <c r="AD12" s="132">
        <v>4.34</v>
      </c>
      <c r="AE12" s="132">
        <v>18</v>
      </c>
      <c r="AF12" s="132">
        <v>1610</v>
      </c>
    </row>
    <row r="13" spans="1:32">
      <c r="A13" s="15" t="s">
        <v>677</v>
      </c>
      <c r="B13" s="10">
        <f>'Mallas Cuadradas o Rectangulare'!F22+'Mallas Cuadradas o Rectangulare'!F24</f>
        <v>231</v>
      </c>
      <c r="C13">
        <f>1/POWER(2*D9,(2/D9))</f>
        <v>0.43086197299453238</v>
      </c>
      <c r="D13">
        <f>'Mallas Cuadradas o Rectangulare'!F24*2/('Mallas Cuadradas o Rectangulare'!F17+'Mallas Cuadradas o Rectangulare'!F18+'Mallas Cuadradas o Rectangulare'!F17+'Mallas Cuadradas o Rectangulare'!F18)</f>
        <v>15.285714285714286</v>
      </c>
      <c r="E13">
        <f>SQRT(('Mallas Cuadradas o Rectangulare'!F17+'Mallas Cuadradas o Rectangulare'!F17+'Mallas Cuadradas o Rectangulare'!F18+'Mallas Cuadradas o Rectangulare'!F18)/(4*'Mallas Cuadradas o Rectangulare'!F19))</f>
        <v>0.38188130791298669</v>
      </c>
      <c r="F13" s="15" t="s">
        <v>633</v>
      </c>
      <c r="G13" s="10">
        <v>10.8</v>
      </c>
      <c r="H13" s="10">
        <v>1.6000000000000001E-3</v>
      </c>
      <c r="I13" s="10">
        <v>605</v>
      </c>
      <c r="J13" s="10">
        <v>1510</v>
      </c>
      <c r="K13" s="10">
        <v>15.9</v>
      </c>
      <c r="L13" s="10">
        <v>3.28</v>
      </c>
      <c r="M13" s="133">
        <v>15.96</v>
      </c>
      <c r="P13" s="173">
        <v>4</v>
      </c>
      <c r="Q13" s="173">
        <v>41740</v>
      </c>
      <c r="R13" s="173">
        <v>21.15</v>
      </c>
      <c r="S13" s="174">
        <v>0.20399999999999999</v>
      </c>
      <c r="T13" s="174">
        <v>5.1890000000000001</v>
      </c>
      <c r="U13" s="70"/>
      <c r="V13" s="70"/>
      <c r="Z13" s="133">
        <v>400</v>
      </c>
      <c r="AA13" s="132">
        <v>400</v>
      </c>
      <c r="AB13" s="132">
        <v>203</v>
      </c>
      <c r="AC13" s="132">
        <v>19</v>
      </c>
      <c r="AD13" s="132">
        <v>3.69</v>
      </c>
      <c r="AE13" s="132">
        <v>18.5</v>
      </c>
      <c r="AF13" s="132">
        <v>1838</v>
      </c>
    </row>
    <row r="14" spans="1:32">
      <c r="A14" s="15" t="s">
        <v>678</v>
      </c>
      <c r="B14" s="10">
        <f>'Mallas Cuadradas o Rectangulare'!F24+(1.55+((1.22)*('Mallas Cuadradas o Rectangulare'!I18)/(SQRT(POWER('Mallas Cuadradas o Rectangulare'!F17,2)+POWER('Mallas Cuadradas o Rectangulare'!F18,2)))))*'Mallas Cuadradas o Rectangulare'!I19</f>
        <v>258.22719999999998</v>
      </c>
      <c r="C14" s="21">
        <v>1</v>
      </c>
      <c r="F14" s="15" t="s">
        <v>634</v>
      </c>
      <c r="G14" s="10">
        <v>9.8000000000000007</v>
      </c>
      <c r="H14" s="10">
        <v>1.6000000000000001E-3</v>
      </c>
      <c r="I14" s="10">
        <v>605</v>
      </c>
      <c r="J14" s="10">
        <v>1400</v>
      </c>
      <c r="K14" s="10">
        <v>17.5</v>
      </c>
      <c r="L14" s="10">
        <v>4.4400000000000004</v>
      </c>
      <c r="M14" s="133">
        <v>14.72</v>
      </c>
      <c r="P14" s="173">
        <v>2</v>
      </c>
      <c r="Q14" s="173">
        <v>66370</v>
      </c>
      <c r="R14" s="173">
        <v>33.630000000000003</v>
      </c>
      <c r="S14" s="174">
        <v>0.25800000000000001</v>
      </c>
      <c r="T14" s="174">
        <v>6.5430000000000001</v>
      </c>
      <c r="U14" s="70"/>
      <c r="V14" s="70"/>
      <c r="Z14" s="133">
        <v>450</v>
      </c>
      <c r="AA14" s="132">
        <v>450</v>
      </c>
      <c r="AB14" s="132">
        <v>228</v>
      </c>
      <c r="AC14" s="132">
        <v>19</v>
      </c>
      <c r="AD14" s="132">
        <v>3.91</v>
      </c>
      <c r="AE14" s="132">
        <v>19.600000000000001</v>
      </c>
      <c r="AF14" s="132">
        <v>2067</v>
      </c>
    </row>
    <row r="15" spans="1:32">
      <c r="A15" s="10">
        <v>2</v>
      </c>
      <c r="B15" s="15"/>
      <c r="F15" s="15" t="s">
        <v>635</v>
      </c>
      <c r="G15" s="10">
        <v>8.6</v>
      </c>
      <c r="H15" s="10">
        <v>3.2000000000000002E-3</v>
      </c>
      <c r="I15" s="10">
        <v>293</v>
      </c>
      <c r="J15" s="10">
        <v>419</v>
      </c>
      <c r="K15" s="10">
        <v>20.100000000000001</v>
      </c>
      <c r="L15" s="10">
        <v>3.93</v>
      </c>
      <c r="M15" s="133">
        <v>28.96</v>
      </c>
      <c r="P15" s="173" t="s">
        <v>756</v>
      </c>
      <c r="Q15" s="173">
        <v>105400</v>
      </c>
      <c r="R15" s="173">
        <v>53.48</v>
      </c>
      <c r="S15" s="174">
        <v>0.32500000000000001</v>
      </c>
      <c r="T15" s="174">
        <v>8.2520000000000007</v>
      </c>
      <c r="U15" s="70"/>
      <c r="V15" s="70"/>
      <c r="Z15" s="133">
        <v>500</v>
      </c>
      <c r="AA15" s="132">
        <v>500</v>
      </c>
      <c r="AB15" s="132">
        <v>253</v>
      </c>
      <c r="AC15" s="132">
        <v>19</v>
      </c>
      <c r="AD15" s="132">
        <v>4.12</v>
      </c>
      <c r="AE15" s="132">
        <v>20.6</v>
      </c>
      <c r="AF15" s="132">
        <v>2297</v>
      </c>
    </row>
    <row r="16" spans="1:32">
      <c r="F16" s="15" t="s">
        <v>636</v>
      </c>
      <c r="G16" s="10">
        <v>2.4</v>
      </c>
      <c r="H16" s="10">
        <v>1.2999999999999999E-3</v>
      </c>
      <c r="I16" s="10">
        <v>749</v>
      </c>
      <c r="J16" s="10">
        <v>1400</v>
      </c>
      <c r="K16" s="10">
        <v>72</v>
      </c>
      <c r="L16" s="10">
        <v>4.03</v>
      </c>
      <c r="M16" s="133">
        <v>30.05</v>
      </c>
      <c r="P16" s="173" t="s">
        <v>757</v>
      </c>
      <c r="Q16" s="173">
        <v>133100</v>
      </c>
      <c r="R16" s="173">
        <v>67.42</v>
      </c>
      <c r="S16" s="174">
        <v>0.36499999999999999</v>
      </c>
      <c r="T16" s="174">
        <v>9.266</v>
      </c>
      <c r="U16" s="70"/>
      <c r="V16" s="70"/>
      <c r="Z16" s="133">
        <v>550</v>
      </c>
      <c r="AA16" s="132">
        <v>550</v>
      </c>
      <c r="AB16" s="132">
        <v>279</v>
      </c>
      <c r="AC16" s="132">
        <v>37</v>
      </c>
      <c r="AD16" s="132">
        <v>3.1</v>
      </c>
      <c r="AE16" s="132">
        <v>21.7</v>
      </c>
      <c r="AF16" s="132">
        <v>2527</v>
      </c>
    </row>
    <row r="17" spans="1:32" ht="15.75" thickBot="1">
      <c r="P17" s="173" t="s">
        <v>758</v>
      </c>
      <c r="Q17" s="173">
        <v>167800</v>
      </c>
      <c r="R17" s="173">
        <v>85.03</v>
      </c>
      <c r="S17" s="174">
        <v>0.41</v>
      </c>
      <c r="T17" s="174">
        <v>10.403</v>
      </c>
      <c r="U17" s="70"/>
      <c r="V17" s="70"/>
      <c r="Z17" s="132">
        <v>600</v>
      </c>
      <c r="AA17" s="132">
        <v>600</v>
      </c>
      <c r="AB17" s="132">
        <v>304</v>
      </c>
      <c r="AC17" s="132">
        <v>37</v>
      </c>
      <c r="AD17" s="132">
        <v>3.23</v>
      </c>
      <c r="AE17" s="132">
        <v>22.6</v>
      </c>
      <c r="AF17" s="132">
        <v>2757</v>
      </c>
    </row>
    <row r="18" spans="1:32" ht="52.5" customHeight="1" thickBot="1">
      <c r="A18" s="2" t="s">
        <v>765</v>
      </c>
      <c r="B18" s="67" t="s">
        <v>766</v>
      </c>
      <c r="F18" s="449" t="s">
        <v>637</v>
      </c>
      <c r="G18" s="450"/>
      <c r="H18" s="450"/>
      <c r="I18" s="450"/>
      <c r="J18" s="450"/>
      <c r="K18" s="451"/>
      <c r="P18" s="173" t="s">
        <v>759</v>
      </c>
      <c r="Q18" s="173">
        <v>211600</v>
      </c>
      <c r="R18" s="173">
        <v>107.23</v>
      </c>
      <c r="S18" s="174">
        <v>0.46</v>
      </c>
      <c r="T18" s="174">
        <v>11.683999999999999</v>
      </c>
      <c r="U18" s="70"/>
      <c r="V18" s="70"/>
      <c r="Z18" s="132">
        <v>650</v>
      </c>
      <c r="AA18" s="132">
        <v>650</v>
      </c>
      <c r="AB18" s="132">
        <v>329</v>
      </c>
      <c r="AC18" s="132">
        <v>37</v>
      </c>
      <c r="AD18" s="132">
        <v>3.37</v>
      </c>
      <c r="AE18" s="132">
        <v>23.6</v>
      </c>
      <c r="AF18" s="132">
        <v>2986</v>
      </c>
    </row>
    <row r="19" spans="1:32">
      <c r="A19" s="24" t="s">
        <v>767</v>
      </c>
      <c r="B19" s="2">
        <v>20</v>
      </c>
      <c r="F19" s="452" t="s">
        <v>638</v>
      </c>
      <c r="G19" s="453"/>
      <c r="H19" s="453" t="s">
        <v>639</v>
      </c>
      <c r="I19" s="453"/>
      <c r="J19" s="453"/>
      <c r="K19" s="454"/>
      <c r="P19" s="173">
        <v>250</v>
      </c>
      <c r="Q19" s="173">
        <v>250000</v>
      </c>
      <c r="R19" s="173">
        <v>126.64</v>
      </c>
      <c r="S19" s="174">
        <v>0.57499999999999996</v>
      </c>
      <c r="T19" s="174">
        <v>14.605</v>
      </c>
      <c r="U19" s="70"/>
      <c r="V19" s="70"/>
      <c r="Z19" s="132">
        <v>700</v>
      </c>
      <c r="AA19" s="132">
        <v>700</v>
      </c>
      <c r="AB19" s="132">
        <v>355</v>
      </c>
      <c r="AC19" s="132">
        <v>37</v>
      </c>
      <c r="AD19" s="132">
        <v>3.49</v>
      </c>
      <c r="AE19" s="132">
        <v>24.4</v>
      </c>
      <c r="AF19" s="132">
        <v>3216</v>
      </c>
    </row>
    <row r="20" spans="1:32">
      <c r="A20" s="24" t="s">
        <v>768</v>
      </c>
      <c r="B20" s="2">
        <v>1</v>
      </c>
      <c r="F20" s="100" t="s">
        <v>640</v>
      </c>
      <c r="G20" s="10" t="s">
        <v>641</v>
      </c>
      <c r="H20" s="10" t="s">
        <v>642</v>
      </c>
      <c r="I20" s="10" t="s">
        <v>643</v>
      </c>
      <c r="J20" s="10" t="s">
        <v>644</v>
      </c>
      <c r="K20" s="101" t="s">
        <v>645</v>
      </c>
      <c r="P20" s="173">
        <v>300</v>
      </c>
      <c r="Q20" s="173">
        <v>300000</v>
      </c>
      <c r="R20" s="173">
        <v>152</v>
      </c>
      <c r="S20" s="174">
        <v>0.63</v>
      </c>
      <c r="T20" s="174">
        <v>16</v>
      </c>
      <c r="U20" s="70"/>
      <c r="V20" s="70"/>
      <c r="Z20" s="142">
        <v>750</v>
      </c>
      <c r="AA20" s="142">
        <v>750</v>
      </c>
      <c r="AB20" s="142">
        <v>380</v>
      </c>
      <c r="AC20" s="142">
        <v>37</v>
      </c>
      <c r="AD20" s="142">
        <v>3.62</v>
      </c>
      <c r="AE20" s="142">
        <v>25.3</v>
      </c>
      <c r="AF20" s="142">
        <v>3446</v>
      </c>
    </row>
    <row r="21" spans="1:32">
      <c r="A21" s="24" t="s">
        <v>769</v>
      </c>
      <c r="B21" s="2">
        <v>10</v>
      </c>
      <c r="F21" s="100">
        <v>8.3300000000000006E-3</v>
      </c>
      <c r="G21" s="10">
        <v>0.5</v>
      </c>
      <c r="H21" s="15">
        <v>1.5760000000000001</v>
      </c>
      <c r="I21" s="15">
        <v>1.6479999999999999</v>
      </c>
      <c r="J21" s="15">
        <v>1.675</v>
      </c>
      <c r="K21" s="102">
        <v>1.6879999999999999</v>
      </c>
      <c r="P21" s="173">
        <v>350</v>
      </c>
      <c r="Q21" s="173">
        <v>350000</v>
      </c>
      <c r="R21" s="173">
        <v>177.35</v>
      </c>
      <c r="S21" s="174">
        <v>0.68100000000000005</v>
      </c>
      <c r="T21" s="174">
        <v>17.3</v>
      </c>
      <c r="U21" s="70"/>
      <c r="V21" s="70"/>
      <c r="Z21" s="443" t="s">
        <v>760</v>
      </c>
      <c r="AA21" s="444"/>
      <c r="AB21" s="444"/>
      <c r="AC21" s="444"/>
      <c r="AD21" s="444"/>
      <c r="AE21" s="444"/>
      <c r="AF21" s="445"/>
    </row>
    <row r="22" spans="1:32">
      <c r="A22" s="24" t="s">
        <v>770</v>
      </c>
      <c r="B22" s="2">
        <v>10</v>
      </c>
      <c r="F22" s="100">
        <v>0.05</v>
      </c>
      <c r="G22" s="10">
        <v>3</v>
      </c>
      <c r="H22" s="15">
        <v>1.232</v>
      </c>
      <c r="I22" s="15">
        <v>1.3779999999999999</v>
      </c>
      <c r="J22" s="15">
        <v>1.462</v>
      </c>
      <c r="K22" s="102">
        <v>1.5149999999999999</v>
      </c>
      <c r="P22" s="173">
        <v>400</v>
      </c>
      <c r="Q22" s="173">
        <v>400000</v>
      </c>
      <c r="R22" s="173">
        <v>202.71</v>
      </c>
      <c r="S22" s="174">
        <v>0.72799999999999998</v>
      </c>
      <c r="T22" s="174">
        <v>18.489999999999998</v>
      </c>
      <c r="U22" s="70"/>
      <c r="V22" s="70"/>
    </row>
    <row r="23" spans="1:32">
      <c r="A23" s="24" t="s">
        <v>771</v>
      </c>
      <c r="B23" s="2">
        <v>4</v>
      </c>
      <c r="F23" s="100">
        <v>0.1</v>
      </c>
      <c r="G23" s="10">
        <v>6</v>
      </c>
      <c r="H23" s="15">
        <v>1.125</v>
      </c>
      <c r="I23" s="15">
        <v>1.232</v>
      </c>
      <c r="J23" s="15">
        <v>1.3160000000000001</v>
      </c>
      <c r="K23" s="102">
        <v>1.3779999999999999</v>
      </c>
      <c r="P23" s="173">
        <v>500</v>
      </c>
      <c r="Q23" s="173">
        <v>500000</v>
      </c>
      <c r="R23" s="173">
        <v>253.35</v>
      </c>
      <c r="S23" s="174">
        <v>0.81399999999999995</v>
      </c>
      <c r="T23" s="174">
        <v>20.68</v>
      </c>
      <c r="U23" s="70"/>
      <c r="V23" s="70"/>
    </row>
    <row r="24" spans="1:32">
      <c r="A24" s="24" t="s">
        <v>772</v>
      </c>
      <c r="B24" s="2">
        <v>25</v>
      </c>
      <c r="F24" s="100">
        <v>0.2</v>
      </c>
      <c r="G24" s="10">
        <v>12</v>
      </c>
      <c r="H24" s="15">
        <v>1.0640000000000001</v>
      </c>
      <c r="I24" s="15">
        <v>1.125</v>
      </c>
      <c r="J24" s="15">
        <v>1.181</v>
      </c>
      <c r="K24" s="102">
        <v>1.232</v>
      </c>
      <c r="P24" s="173">
        <v>600</v>
      </c>
      <c r="Q24" s="173">
        <v>600000</v>
      </c>
      <c r="R24" s="173">
        <v>304</v>
      </c>
      <c r="S24" s="174">
        <v>0.89300000000000002</v>
      </c>
      <c r="T24" s="174">
        <v>22.68</v>
      </c>
      <c r="U24" s="70"/>
      <c r="V24" s="70"/>
    </row>
    <row r="25" spans="1:32">
      <c r="A25" s="24" t="s">
        <v>773</v>
      </c>
      <c r="B25" s="2">
        <v>25</v>
      </c>
      <c r="F25" s="100">
        <v>0.3</v>
      </c>
      <c r="G25" s="10">
        <v>18</v>
      </c>
      <c r="H25" s="15">
        <v>1.0429999999999999</v>
      </c>
      <c r="I25" s="15">
        <v>1.085</v>
      </c>
      <c r="J25" s="15">
        <v>1.125</v>
      </c>
      <c r="K25" s="102">
        <v>1.163</v>
      </c>
      <c r="P25" s="173">
        <v>700</v>
      </c>
      <c r="Q25" s="173">
        <v>700000</v>
      </c>
      <c r="R25" s="173">
        <v>354.71</v>
      </c>
      <c r="S25" s="174">
        <v>0.96399999999999997</v>
      </c>
      <c r="T25" s="174">
        <v>24.69</v>
      </c>
      <c r="U25" s="70"/>
      <c r="V25" s="70"/>
    </row>
    <row r="26" spans="1:32">
      <c r="A26" s="24" t="s">
        <v>774</v>
      </c>
      <c r="B26" s="2">
        <v>5</v>
      </c>
      <c r="F26" s="100">
        <v>0.4</v>
      </c>
      <c r="G26" s="10">
        <v>24</v>
      </c>
      <c r="H26" s="15">
        <v>1.0329999999999999</v>
      </c>
      <c r="I26" s="15">
        <v>1.0640000000000001</v>
      </c>
      <c r="J26" s="15">
        <v>1.095</v>
      </c>
      <c r="K26" s="102">
        <v>1.125</v>
      </c>
      <c r="P26" s="173">
        <v>750</v>
      </c>
      <c r="Q26" s="173">
        <v>750000</v>
      </c>
      <c r="R26" s="173">
        <v>379.84</v>
      </c>
      <c r="S26" s="174">
        <v>0.998</v>
      </c>
      <c r="T26" s="174">
        <v>25.35</v>
      </c>
      <c r="U26" s="70"/>
      <c r="V26" s="70"/>
    </row>
    <row r="27" spans="1:32">
      <c r="F27" s="100">
        <v>0.5</v>
      </c>
      <c r="G27" s="10">
        <v>30</v>
      </c>
      <c r="H27" s="15">
        <v>1.026</v>
      </c>
      <c r="I27" s="15">
        <v>1.052</v>
      </c>
      <c r="J27" s="15">
        <v>1.077</v>
      </c>
      <c r="K27" s="102">
        <v>1.101</v>
      </c>
      <c r="P27" s="173">
        <v>800</v>
      </c>
      <c r="Q27" s="173">
        <v>800000</v>
      </c>
      <c r="R27" s="173">
        <v>405.16</v>
      </c>
      <c r="S27" s="174">
        <v>1.0309999999999999</v>
      </c>
      <c r="T27" s="174">
        <v>26.19</v>
      </c>
      <c r="U27" s="70"/>
      <c r="V27" s="70"/>
    </row>
    <row r="28" spans="1:32">
      <c r="F28" s="100">
        <v>0.75</v>
      </c>
      <c r="G28" s="10">
        <v>45</v>
      </c>
      <c r="H28" s="15">
        <v>1.018</v>
      </c>
      <c r="I28" s="15">
        <v>1.0349999999999999</v>
      </c>
      <c r="J28" s="15">
        <v>1.052</v>
      </c>
      <c r="K28" s="102">
        <v>1.0680000000000001</v>
      </c>
      <c r="P28" s="173">
        <v>900</v>
      </c>
      <c r="Q28" s="173">
        <v>900000</v>
      </c>
      <c r="R28" s="173">
        <v>455.81</v>
      </c>
      <c r="S28" s="174">
        <v>1.093</v>
      </c>
      <c r="T28" s="174">
        <v>27.76</v>
      </c>
      <c r="U28" s="70"/>
      <c r="V28" s="70"/>
    </row>
    <row r="29" spans="1:32" ht="15.75" thickBot="1">
      <c r="F29" s="103">
        <v>1</v>
      </c>
      <c r="G29" s="104">
        <v>60</v>
      </c>
      <c r="H29" s="105">
        <v>1.0129999999999999</v>
      </c>
      <c r="I29" s="105">
        <v>1.026</v>
      </c>
      <c r="J29" s="105">
        <v>1.0389999999999999</v>
      </c>
      <c r="K29" s="106">
        <v>1.0249999999999999</v>
      </c>
      <c r="P29" s="173">
        <v>1000</v>
      </c>
      <c r="Q29" s="173">
        <v>1000000</v>
      </c>
      <c r="R29" s="173">
        <v>506.45</v>
      </c>
      <c r="S29" s="174">
        <v>1.1519999999999999</v>
      </c>
      <c r="T29" s="174">
        <v>29.26</v>
      </c>
      <c r="U29" s="172"/>
      <c r="V29" s="70"/>
    </row>
    <row r="30" spans="1:32">
      <c r="P30" s="173">
        <v>1250</v>
      </c>
      <c r="Q30" s="173">
        <v>1250000</v>
      </c>
      <c r="R30" s="173">
        <v>633.05999999999995</v>
      </c>
      <c r="S30" s="174">
        <v>1.2889999999999999</v>
      </c>
      <c r="T30" s="174">
        <v>32.74</v>
      </c>
      <c r="U30" s="172"/>
      <c r="V30" s="70"/>
    </row>
    <row r="31" spans="1:32">
      <c r="P31" s="173">
        <v>1500</v>
      </c>
      <c r="Q31" s="173">
        <v>1500000</v>
      </c>
      <c r="R31" s="173">
        <v>759.68</v>
      </c>
      <c r="S31" s="174">
        <v>1.4119999999999999</v>
      </c>
      <c r="T31" s="174">
        <v>35.869999999999997</v>
      </c>
      <c r="U31" s="172"/>
      <c r="V31" s="70"/>
    </row>
    <row r="32" spans="1:32">
      <c r="P32" s="173">
        <v>1750</v>
      </c>
      <c r="Q32" s="173">
        <v>1750000</v>
      </c>
      <c r="R32" s="173">
        <v>886.29</v>
      </c>
      <c r="S32" s="174">
        <v>1.526</v>
      </c>
      <c r="T32" s="174">
        <v>38.76</v>
      </c>
      <c r="U32" s="172"/>
      <c r="V32" s="70"/>
    </row>
    <row r="33" spans="16:22">
      <c r="P33" s="173">
        <v>2000</v>
      </c>
      <c r="Q33" s="173">
        <v>2000000</v>
      </c>
      <c r="R33" s="173">
        <v>1012.9</v>
      </c>
      <c r="S33" s="174">
        <v>1.631</v>
      </c>
      <c r="T33" s="174">
        <v>41.42</v>
      </c>
      <c r="U33" s="172"/>
      <c r="V33" s="172"/>
    </row>
    <row r="35" spans="16:22">
      <c r="P35" s="171"/>
      <c r="Q35" s="171"/>
      <c r="R35" s="171"/>
      <c r="T35" s="171"/>
      <c r="U35" s="171"/>
      <c r="V35" s="171"/>
    </row>
    <row r="36" spans="16:22">
      <c r="T36" s="171"/>
      <c r="U36" s="171"/>
      <c r="V36" s="171"/>
    </row>
    <row r="37" spans="16:22">
      <c r="T37" s="171"/>
      <c r="U37" s="171"/>
      <c r="V37" s="171"/>
    </row>
    <row r="38" spans="16:22">
      <c r="T38" s="171"/>
      <c r="U38" s="171"/>
      <c r="V38" s="171"/>
    </row>
    <row r="39" spans="16:22">
      <c r="U39" s="171"/>
      <c r="V39" s="171"/>
    </row>
  </sheetData>
  <mergeCells count="10">
    <mergeCell ref="AA3:AB4"/>
    <mergeCell ref="AC3:AC4"/>
    <mergeCell ref="Z21:AF21"/>
    <mergeCell ref="F2:L2"/>
    <mergeCell ref="F18:K18"/>
    <mergeCell ref="F19:G19"/>
    <mergeCell ref="H19:K19"/>
    <mergeCell ref="Z3:Z5"/>
    <mergeCell ref="Q3:R3"/>
    <mergeCell ref="S3:T3"/>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6"/>
  <dimension ref="A1:Z149"/>
  <sheetViews>
    <sheetView topLeftCell="I112" workbookViewId="0">
      <selection activeCell="E90" sqref="E90"/>
    </sheetView>
  </sheetViews>
  <sheetFormatPr baseColWidth="10" defaultRowHeight="15"/>
  <cols>
    <col min="1" max="1" width="22.7109375" customWidth="1"/>
    <col min="2" max="3" width="19.28515625" customWidth="1"/>
    <col min="4" max="4" width="19.140625" customWidth="1"/>
    <col min="5" max="5" width="15.5703125" customWidth="1"/>
    <col min="10" max="10" width="73.5703125" customWidth="1"/>
    <col min="11" max="11" width="14.5703125" customWidth="1"/>
    <col min="12" max="12" width="17.42578125" customWidth="1"/>
    <col min="13" max="13" width="109" customWidth="1"/>
  </cols>
  <sheetData>
    <row r="1" spans="1:26">
      <c r="A1" s="21" t="s">
        <v>193</v>
      </c>
      <c r="B1" s="21" t="s">
        <v>197</v>
      </c>
      <c r="C1" s="21" t="s">
        <v>198</v>
      </c>
      <c r="D1" s="22" t="s">
        <v>199</v>
      </c>
      <c r="E1" s="21" t="s">
        <v>195</v>
      </c>
      <c r="J1" s="15" t="s">
        <v>240</v>
      </c>
      <c r="K1" s="15" t="s">
        <v>241</v>
      </c>
    </row>
    <row r="2" spans="1:26">
      <c r="A2" s="21" t="s">
        <v>194</v>
      </c>
      <c r="B2" s="21">
        <v>10.9</v>
      </c>
      <c r="C2" s="21">
        <v>-74.8</v>
      </c>
      <c r="D2" s="21">
        <v>1</v>
      </c>
      <c r="E2">
        <v>60</v>
      </c>
      <c r="J2" s="15" t="s">
        <v>242</v>
      </c>
      <c r="K2" s="15">
        <v>0.25</v>
      </c>
    </row>
    <row r="3" spans="1:26">
      <c r="A3" s="21" t="s">
        <v>200</v>
      </c>
      <c r="B3" s="21">
        <v>10.5</v>
      </c>
      <c r="C3" s="21">
        <v>-75.5</v>
      </c>
      <c r="D3" s="21">
        <v>2</v>
      </c>
      <c r="E3">
        <f t="shared" ref="E3:E33" si="0">((D3/0.0017)^(1/1.56))</f>
        <v>92.96536986067423</v>
      </c>
      <c r="J3" s="15" t="s">
        <v>237</v>
      </c>
      <c r="K3" s="15">
        <v>0.5</v>
      </c>
    </row>
    <row r="4" spans="1:26">
      <c r="A4" s="21" t="s">
        <v>201</v>
      </c>
      <c r="B4" s="21">
        <v>9.3000000000000007</v>
      </c>
      <c r="C4" s="21">
        <v>-75.3</v>
      </c>
      <c r="D4" s="21">
        <v>3</v>
      </c>
      <c r="E4">
        <f t="shared" si="0"/>
        <v>120.55916009012545</v>
      </c>
      <c r="J4" s="15" t="s">
        <v>243</v>
      </c>
      <c r="K4" s="15">
        <v>1</v>
      </c>
    </row>
    <row r="5" spans="1:26">
      <c r="A5" s="21" t="s">
        <v>202</v>
      </c>
      <c r="B5" s="21">
        <v>9.1</v>
      </c>
      <c r="C5" s="21">
        <v>-74</v>
      </c>
      <c r="D5" s="21">
        <v>10</v>
      </c>
      <c r="E5">
        <f t="shared" si="0"/>
        <v>260.84282587811839</v>
      </c>
      <c r="J5" s="15" t="s">
        <v>244</v>
      </c>
      <c r="K5" s="15">
        <v>2</v>
      </c>
    </row>
    <row r="6" spans="1:26">
      <c r="A6" s="21" t="s">
        <v>203</v>
      </c>
      <c r="B6" s="21">
        <v>9.3000000000000007</v>
      </c>
      <c r="C6" s="21">
        <v>-74.8</v>
      </c>
      <c r="D6" s="21">
        <v>5</v>
      </c>
      <c r="E6">
        <f t="shared" si="0"/>
        <v>167.26726301005513</v>
      </c>
    </row>
    <row r="7" spans="1:26">
      <c r="A7" s="21" t="s">
        <v>204</v>
      </c>
      <c r="B7" s="21">
        <v>8.8000000000000007</v>
      </c>
      <c r="C7" s="21">
        <v>-75.900000000000006</v>
      </c>
      <c r="D7" s="21">
        <v>2</v>
      </c>
      <c r="E7">
        <f t="shared" si="0"/>
        <v>92.96536986067423</v>
      </c>
      <c r="J7" s="15" t="s">
        <v>245</v>
      </c>
      <c r="K7" s="15" t="s">
        <v>246</v>
      </c>
      <c r="L7" s="15"/>
    </row>
    <row r="8" spans="1:26">
      <c r="A8" s="21" t="s">
        <v>205</v>
      </c>
      <c r="B8" s="21">
        <v>5.7</v>
      </c>
      <c r="C8" s="21">
        <v>-76.599999999999994</v>
      </c>
      <c r="D8" s="21">
        <v>9</v>
      </c>
      <c r="E8">
        <f t="shared" si="0"/>
        <v>243.80756208416196</v>
      </c>
      <c r="J8" s="15" t="s">
        <v>247</v>
      </c>
      <c r="K8" s="15">
        <v>0.2</v>
      </c>
      <c r="L8" s="15"/>
    </row>
    <row r="9" spans="1:26">
      <c r="A9" s="21" t="s">
        <v>206</v>
      </c>
      <c r="B9" s="21">
        <v>11.1</v>
      </c>
      <c r="C9" s="21">
        <v>-74.2</v>
      </c>
      <c r="D9" s="21">
        <v>2</v>
      </c>
      <c r="E9">
        <f t="shared" si="0"/>
        <v>92.96536986067423</v>
      </c>
      <c r="J9" s="15" t="s">
        <v>248</v>
      </c>
      <c r="K9" s="15">
        <v>1</v>
      </c>
      <c r="L9" s="15"/>
    </row>
    <row r="10" spans="1:26">
      <c r="A10" s="21" t="s">
        <v>207</v>
      </c>
      <c r="B10" s="21">
        <v>1.8</v>
      </c>
      <c r="C10" s="21">
        <v>-78.8</v>
      </c>
      <c r="D10" s="21">
        <v>1</v>
      </c>
      <c r="E10">
        <f t="shared" si="0"/>
        <v>59.614685276329517</v>
      </c>
      <c r="J10" s="15" t="s">
        <v>249</v>
      </c>
      <c r="K10" s="15">
        <v>1</v>
      </c>
      <c r="L10" s="15"/>
    </row>
    <row r="11" spans="1:26">
      <c r="A11" s="21" t="s">
        <v>208</v>
      </c>
      <c r="B11" s="21">
        <v>8.1</v>
      </c>
      <c r="C11" s="21">
        <v>-76.7</v>
      </c>
      <c r="D11" s="21">
        <v>5</v>
      </c>
      <c r="E11">
        <f t="shared" si="0"/>
        <v>167.26726301005513</v>
      </c>
    </row>
    <row r="12" spans="1:26">
      <c r="A12" s="21" t="s">
        <v>209</v>
      </c>
      <c r="B12" s="21">
        <v>10.4</v>
      </c>
      <c r="C12" s="21">
        <v>-73.3</v>
      </c>
      <c r="D12" s="21">
        <v>2</v>
      </c>
      <c r="E12">
        <f t="shared" si="0"/>
        <v>92.96536986067423</v>
      </c>
      <c r="J12" s="15" t="s">
        <v>250</v>
      </c>
      <c r="K12" s="15"/>
      <c r="L12" s="15"/>
      <c r="M12" t="s">
        <v>338</v>
      </c>
    </row>
    <row r="13" spans="1:26">
      <c r="A13" s="21" t="s">
        <v>210</v>
      </c>
      <c r="B13" s="21">
        <v>11.5</v>
      </c>
      <c r="C13" s="21">
        <v>-72.900000000000006</v>
      </c>
      <c r="D13" s="21">
        <v>2</v>
      </c>
      <c r="E13">
        <f t="shared" si="0"/>
        <v>92.96536986067423</v>
      </c>
      <c r="J13" s="15" t="s">
        <v>251</v>
      </c>
      <c r="K13" s="15">
        <f>(Rayos!B38-(3*(Rayos!B41+Rayos!B40)))*6*(Rayos!B41)</f>
        <v>0</v>
      </c>
      <c r="L13" s="15">
        <f>1000*Rayos!B38</f>
        <v>20000</v>
      </c>
      <c r="M13" t="s">
        <v>281</v>
      </c>
    </row>
    <row r="14" spans="1:26">
      <c r="A14" s="21" t="s">
        <v>211</v>
      </c>
      <c r="B14" s="21">
        <v>4.5</v>
      </c>
      <c r="C14" s="21">
        <v>-75.8</v>
      </c>
      <c r="D14" s="21">
        <v>2</v>
      </c>
      <c r="E14">
        <f t="shared" si="0"/>
        <v>92.96536986067423</v>
      </c>
      <c r="J14" s="15" t="s">
        <v>252</v>
      </c>
      <c r="K14" s="15">
        <f>((Rayos!B38-(3*(Rayos!B39+Rayos!B40)))*(SQRT(Rayos!B42)))</f>
        <v>-43.428101501216929</v>
      </c>
      <c r="L14" s="15">
        <f>25*Rayos!B38*SQRT(Rayos!B42)</f>
        <v>2171.4050750608467</v>
      </c>
      <c r="M14" t="s">
        <v>283</v>
      </c>
    </row>
    <row r="15" spans="1:26">
      <c r="A15" s="21" t="s">
        <v>212</v>
      </c>
      <c r="B15" s="21">
        <v>7</v>
      </c>
      <c r="C15" s="21">
        <v>-73.8</v>
      </c>
      <c r="D15" s="21">
        <v>7</v>
      </c>
      <c r="E15">
        <f t="shared" si="0"/>
        <v>207.53089946130234</v>
      </c>
      <c r="M15" t="s">
        <v>282</v>
      </c>
    </row>
    <row r="16" spans="1:26">
      <c r="A16" s="21" t="s">
        <v>213</v>
      </c>
      <c r="B16" s="21">
        <v>4.7</v>
      </c>
      <c r="C16" s="21">
        <v>-74.2</v>
      </c>
      <c r="D16" s="21">
        <v>1</v>
      </c>
      <c r="E16">
        <f t="shared" si="0"/>
        <v>59.614685276329517</v>
      </c>
      <c r="J16" s="15" t="s">
        <v>253</v>
      </c>
      <c r="K16" s="15" t="s">
        <v>254</v>
      </c>
      <c r="Z16" t="s">
        <v>284</v>
      </c>
    </row>
    <row r="17" spans="1:12">
      <c r="A17" s="21" t="s">
        <v>214</v>
      </c>
      <c r="B17" s="21">
        <v>7.1</v>
      </c>
      <c r="C17" s="21">
        <v>-73.099999999999994</v>
      </c>
      <c r="D17" s="21">
        <v>1</v>
      </c>
      <c r="E17">
        <f t="shared" si="0"/>
        <v>59.614685276329517</v>
      </c>
      <c r="J17" s="15" t="s">
        <v>255</v>
      </c>
      <c r="K17" s="15">
        <v>0</v>
      </c>
    </row>
    <row r="18" spans="1:12">
      <c r="A18" s="21" t="s">
        <v>215</v>
      </c>
      <c r="B18" s="21">
        <v>3.6</v>
      </c>
      <c r="C18" s="21">
        <v>-76.400000000000006</v>
      </c>
      <c r="D18" s="21">
        <v>1</v>
      </c>
      <c r="E18">
        <f t="shared" si="0"/>
        <v>59.614685276329517</v>
      </c>
      <c r="J18" s="15" t="s">
        <v>256</v>
      </c>
      <c r="K18" s="15">
        <v>0.1</v>
      </c>
    </row>
    <row r="19" spans="1:12">
      <c r="A19" s="21" t="s">
        <v>216</v>
      </c>
      <c r="B19" s="21">
        <v>7.9</v>
      </c>
      <c r="C19" s="21">
        <v>-72.5</v>
      </c>
      <c r="D19" s="21">
        <v>1</v>
      </c>
      <c r="E19">
        <f t="shared" si="0"/>
        <v>59.614685276329517</v>
      </c>
      <c r="J19" s="15" t="s">
        <v>257</v>
      </c>
      <c r="K19" s="15">
        <v>0.5</v>
      </c>
    </row>
    <row r="20" spans="1:12">
      <c r="A20" s="21" t="s">
        <v>217</v>
      </c>
      <c r="B20" s="21">
        <v>4.3</v>
      </c>
      <c r="C20" s="21">
        <v>-74.8</v>
      </c>
      <c r="D20" s="21">
        <v>5</v>
      </c>
      <c r="E20">
        <f t="shared" si="0"/>
        <v>167.26726301005513</v>
      </c>
      <c r="J20" s="15" t="s">
        <v>258</v>
      </c>
      <c r="K20" s="15">
        <v>1</v>
      </c>
    </row>
    <row r="21" spans="1:12">
      <c r="A21" s="21" t="s">
        <v>218</v>
      </c>
      <c r="B21" s="21">
        <v>4.4000000000000004</v>
      </c>
      <c r="C21" s="21">
        <v>-75.2</v>
      </c>
      <c r="D21" s="21">
        <v>2</v>
      </c>
      <c r="E21">
        <f t="shared" si="0"/>
        <v>92.96536986067423</v>
      </c>
    </row>
    <row r="22" spans="1:12" ht="15" customHeight="1">
      <c r="A22" s="21" t="s">
        <v>219</v>
      </c>
      <c r="B22" s="21">
        <v>0.8</v>
      </c>
      <c r="C22" s="21">
        <v>-77.599999999999994</v>
      </c>
      <c r="D22" s="21">
        <v>1</v>
      </c>
      <c r="E22">
        <f t="shared" si="0"/>
        <v>59.614685276329517</v>
      </c>
      <c r="J22" s="24" t="s">
        <v>300</v>
      </c>
      <c r="K22" s="33" t="s">
        <v>301</v>
      </c>
      <c r="L22" s="2" t="s">
        <v>302</v>
      </c>
    </row>
    <row r="23" spans="1:12">
      <c r="A23" s="21" t="s">
        <v>220</v>
      </c>
      <c r="B23" s="21">
        <v>5</v>
      </c>
      <c r="C23" s="21">
        <v>-75.5</v>
      </c>
      <c r="D23" s="21">
        <v>2</v>
      </c>
      <c r="E23">
        <f t="shared" si="0"/>
        <v>92.96536986067423</v>
      </c>
      <c r="J23" s="34" t="s">
        <v>295</v>
      </c>
      <c r="K23" s="10" t="s">
        <v>303</v>
      </c>
      <c r="L23" s="15">
        <v>0.01</v>
      </c>
    </row>
    <row r="24" spans="1:12">
      <c r="A24" s="21" t="s">
        <v>221</v>
      </c>
      <c r="B24" s="21">
        <v>6.1</v>
      </c>
      <c r="C24" s="21">
        <v>-75.400000000000006</v>
      </c>
      <c r="D24" s="21">
        <v>1</v>
      </c>
      <c r="E24">
        <f t="shared" si="0"/>
        <v>59.614685276329517</v>
      </c>
      <c r="J24" s="34" t="s">
        <v>304</v>
      </c>
      <c r="K24" s="35" t="s">
        <v>305</v>
      </c>
      <c r="L24" s="15">
        <v>1E-3</v>
      </c>
    </row>
    <row r="25" spans="1:12">
      <c r="A25" s="21" t="s">
        <v>222</v>
      </c>
      <c r="B25" s="21">
        <v>3</v>
      </c>
      <c r="C25" s="21">
        <v>-75.3</v>
      </c>
      <c r="D25" s="21">
        <v>1</v>
      </c>
      <c r="E25">
        <f t="shared" si="0"/>
        <v>59.614685276329517</v>
      </c>
      <c r="J25" s="36" t="s">
        <v>306</v>
      </c>
      <c r="K25" s="2" t="s">
        <v>307</v>
      </c>
      <c r="L25" s="15">
        <v>1E-4</v>
      </c>
    </row>
    <row r="26" spans="1:12">
      <c r="A26" s="21" t="s">
        <v>223</v>
      </c>
      <c r="B26" s="21">
        <v>8.3000000000000007</v>
      </c>
      <c r="C26" s="21">
        <v>-73.400000000000006</v>
      </c>
      <c r="D26" s="21">
        <v>2</v>
      </c>
      <c r="E26">
        <f t="shared" si="0"/>
        <v>92.96536986067423</v>
      </c>
      <c r="J26" s="34" t="s">
        <v>308</v>
      </c>
      <c r="K26" s="10" t="s">
        <v>309</v>
      </c>
      <c r="L26" s="15">
        <v>1.0000000000000001E-5</v>
      </c>
    </row>
    <row r="27" spans="1:12">
      <c r="A27" s="21" t="s">
        <v>224</v>
      </c>
      <c r="B27" s="21">
        <v>1.4</v>
      </c>
      <c r="C27" s="21">
        <v>-77.3</v>
      </c>
      <c r="D27" s="21">
        <v>1</v>
      </c>
      <c r="E27">
        <f t="shared" si="0"/>
        <v>59.614685276329517</v>
      </c>
      <c r="J27" t="s">
        <v>310</v>
      </c>
    </row>
    <row r="28" spans="1:12">
      <c r="A28" s="21" t="s">
        <v>225</v>
      </c>
      <c r="B28" s="21">
        <v>4.8</v>
      </c>
      <c r="C28" s="21">
        <v>-75.7</v>
      </c>
      <c r="D28" s="21">
        <v>4</v>
      </c>
      <c r="E28">
        <f t="shared" si="0"/>
        <v>144.97367474593648</v>
      </c>
    </row>
    <row r="29" spans="1:12">
      <c r="A29" s="21" t="s">
        <v>226</v>
      </c>
      <c r="B29" s="21">
        <v>2.4</v>
      </c>
      <c r="C29" s="21">
        <v>-76.599999999999994</v>
      </c>
      <c r="D29" s="21">
        <v>1</v>
      </c>
      <c r="E29">
        <f t="shared" si="0"/>
        <v>59.614685276329517</v>
      </c>
    </row>
    <row r="30" spans="1:12">
      <c r="A30" s="21" t="s">
        <v>227</v>
      </c>
      <c r="B30" s="21">
        <v>7</v>
      </c>
      <c r="C30" s="21">
        <v>-74.7</v>
      </c>
      <c r="D30" s="21">
        <v>12</v>
      </c>
      <c r="E30">
        <f t="shared" si="0"/>
        <v>293.18119153920713</v>
      </c>
      <c r="J30" s="10" t="s">
        <v>321</v>
      </c>
      <c r="K30" s="10" t="s">
        <v>322</v>
      </c>
    </row>
    <row r="31" spans="1:12">
      <c r="A31" s="21" t="s">
        <v>228</v>
      </c>
      <c r="B31" s="21">
        <v>4.2</v>
      </c>
      <c r="C31" s="21">
        <v>-73.5</v>
      </c>
      <c r="D31" s="21">
        <v>1</v>
      </c>
      <c r="E31">
        <f t="shared" si="0"/>
        <v>59.614685276329517</v>
      </c>
      <c r="J31" s="24" t="s">
        <v>323</v>
      </c>
      <c r="K31" s="10">
        <v>1</v>
      </c>
    </row>
    <row r="32" spans="1:12" ht="30">
      <c r="A32" s="21" t="s">
        <v>229</v>
      </c>
      <c r="B32" s="21">
        <v>7.8</v>
      </c>
      <c r="C32" s="21">
        <v>-75.2</v>
      </c>
      <c r="D32" s="21">
        <v>12</v>
      </c>
      <c r="E32">
        <f t="shared" si="0"/>
        <v>293.18119153920713</v>
      </c>
      <c r="J32" s="41" t="s">
        <v>314</v>
      </c>
      <c r="K32" s="10">
        <v>2</v>
      </c>
    </row>
    <row r="33" spans="1:11" ht="27.75" customHeight="1">
      <c r="A33" s="21" t="s">
        <v>230</v>
      </c>
      <c r="B33" s="21">
        <v>5.4</v>
      </c>
      <c r="C33" s="21">
        <v>-74.8</v>
      </c>
      <c r="D33" s="21">
        <v>9</v>
      </c>
      <c r="E33">
        <f t="shared" si="0"/>
        <v>243.80756208416196</v>
      </c>
      <c r="J33" s="41" t="s">
        <v>324</v>
      </c>
      <c r="K33" s="10">
        <v>5</v>
      </c>
    </row>
    <row r="34" spans="1:11" ht="29.25" customHeight="1">
      <c r="J34" s="24" t="s">
        <v>325</v>
      </c>
      <c r="K34" s="10">
        <v>5</v>
      </c>
    </row>
    <row r="35" spans="1:11" ht="30">
      <c r="J35" s="41" t="s">
        <v>326</v>
      </c>
      <c r="K35" s="10">
        <v>10</v>
      </c>
    </row>
    <row r="36" spans="1:11" ht="28.5" customHeight="1">
      <c r="J36" s="24" t="s">
        <v>327</v>
      </c>
      <c r="K36" s="10">
        <v>20</v>
      </c>
    </row>
    <row r="37" spans="1:11">
      <c r="J37" s="24" t="s">
        <v>328</v>
      </c>
      <c r="K37" s="10">
        <v>50</v>
      </c>
    </row>
    <row r="40" spans="1:11">
      <c r="J40" s="10" t="s">
        <v>329</v>
      </c>
      <c r="K40" s="10" t="s">
        <v>330</v>
      </c>
    </row>
    <row r="41" spans="1:11">
      <c r="J41" s="34" t="s">
        <v>331</v>
      </c>
      <c r="K41" s="10">
        <v>1</v>
      </c>
    </row>
    <row r="42" spans="1:11">
      <c r="J42" s="34" t="s">
        <v>332</v>
      </c>
      <c r="K42" s="10">
        <v>0.1</v>
      </c>
    </row>
    <row r="43" spans="1:11">
      <c r="J43" s="34" t="s">
        <v>333</v>
      </c>
      <c r="K43" s="10">
        <v>0.01</v>
      </c>
    </row>
    <row r="44" spans="1:11">
      <c r="J44" s="34" t="s">
        <v>312</v>
      </c>
      <c r="K44" s="10">
        <v>1E-3</v>
      </c>
    </row>
    <row r="45" spans="1:11">
      <c r="J45" s="34" t="s">
        <v>334</v>
      </c>
      <c r="K45" s="10">
        <v>0</v>
      </c>
    </row>
    <row r="48" spans="1:11">
      <c r="J48" s="2" t="s">
        <v>335</v>
      </c>
      <c r="K48" s="2" t="s">
        <v>336</v>
      </c>
    </row>
    <row r="49" spans="1:13">
      <c r="J49" s="15" t="s">
        <v>337</v>
      </c>
      <c r="K49" s="2">
        <v>1</v>
      </c>
    </row>
    <row r="50" spans="1:13" ht="51" customHeight="1">
      <c r="J50" s="43" t="s">
        <v>371</v>
      </c>
      <c r="K50" s="2">
        <v>0.5</v>
      </c>
      <c r="M50" s="42" t="s">
        <v>339</v>
      </c>
    </row>
    <row r="51" spans="1:13" ht="28.5" customHeight="1">
      <c r="J51" s="37" t="s">
        <v>370</v>
      </c>
      <c r="K51" s="2">
        <v>0.2</v>
      </c>
    </row>
    <row r="53" spans="1:13">
      <c r="A53" s="44" t="s">
        <v>347</v>
      </c>
      <c r="B53" s="44" t="s">
        <v>482</v>
      </c>
    </row>
    <row r="54" spans="1:13" ht="24">
      <c r="A54" s="45" t="s">
        <v>349</v>
      </c>
      <c r="B54" s="65">
        <v>1.0000000000000001E-5</v>
      </c>
      <c r="D54">
        <v>1</v>
      </c>
      <c r="E54" t="s">
        <v>480</v>
      </c>
      <c r="J54" s="10" t="s">
        <v>340</v>
      </c>
      <c r="K54" s="10" t="s">
        <v>341</v>
      </c>
      <c r="L54" s="10" t="s">
        <v>342</v>
      </c>
    </row>
    <row r="55" spans="1:13">
      <c r="A55" s="45" t="s">
        <v>350</v>
      </c>
      <c r="B55" s="65">
        <v>1E-3</v>
      </c>
      <c r="D55">
        <v>2</v>
      </c>
      <c r="E55" t="s">
        <v>483</v>
      </c>
      <c r="J55" s="15" t="s">
        <v>343</v>
      </c>
      <c r="K55" s="10">
        <v>0.1</v>
      </c>
      <c r="L55" s="10">
        <v>0.01</v>
      </c>
      <c r="M55" s="40" t="s">
        <v>346</v>
      </c>
    </row>
    <row r="56" spans="1:13" ht="33.75" customHeight="1">
      <c r="A56" s="45" t="s">
        <v>351</v>
      </c>
      <c r="B56" s="65">
        <v>1E-3</v>
      </c>
      <c r="J56" s="15" t="s">
        <v>344</v>
      </c>
      <c r="K56" s="10">
        <v>0.01</v>
      </c>
      <c r="L56" s="10">
        <v>1E-3</v>
      </c>
    </row>
    <row r="57" spans="1:13">
      <c r="J57" s="15" t="s">
        <v>345</v>
      </c>
      <c r="K57" s="10">
        <v>0</v>
      </c>
      <c r="L57" s="10"/>
    </row>
    <row r="58" spans="1:13">
      <c r="J58" s="15" t="s">
        <v>393</v>
      </c>
      <c r="K58" s="10">
        <v>1</v>
      </c>
      <c r="L58" s="15"/>
    </row>
    <row r="60" spans="1:13">
      <c r="J60" s="10" t="s">
        <v>347</v>
      </c>
      <c r="K60" s="10" t="s">
        <v>348</v>
      </c>
    </row>
    <row r="61" spans="1:13">
      <c r="J61" s="15" t="s">
        <v>349</v>
      </c>
      <c r="K61" s="10">
        <v>1.0000000000000001E-5</v>
      </c>
    </row>
    <row r="62" spans="1:13">
      <c r="B62" s="2" t="s">
        <v>366</v>
      </c>
      <c r="C62" s="2" t="s">
        <v>367</v>
      </c>
      <c r="D62" s="2" t="s">
        <v>368</v>
      </c>
      <c r="E62" s="2" t="s">
        <v>369</v>
      </c>
      <c r="J62" s="15" t="s">
        <v>350</v>
      </c>
      <c r="K62" s="10">
        <v>1E-3</v>
      </c>
    </row>
    <row r="63" spans="1:13" ht="24">
      <c r="A63" s="44" t="s">
        <v>353</v>
      </c>
      <c r="B63" s="2">
        <f>Rayos!H4+Rayos!H8</f>
        <v>6.637575721453725E-9</v>
      </c>
      <c r="C63" s="59" t="s">
        <v>475</v>
      </c>
      <c r="D63" s="59" t="s">
        <v>475</v>
      </c>
      <c r="E63" s="2">
        <f>Rayos!H4+Rayos!H8</f>
        <v>6.637575721453725E-9</v>
      </c>
      <c r="J63" s="15" t="s">
        <v>351</v>
      </c>
      <c r="K63" s="10">
        <v>1E-3</v>
      </c>
    </row>
    <row r="64" spans="1:13">
      <c r="A64" s="44" t="s">
        <v>354</v>
      </c>
      <c r="B64" s="2">
        <f>Rayos!H5+Rayos!H9</f>
        <v>1.7269590599942971E-8</v>
      </c>
      <c r="C64" s="59">
        <f>Rayos!H5+Rayos!H9</f>
        <v>1.7269590599942971E-8</v>
      </c>
      <c r="D64" s="2">
        <f>Rayos!H5+Rayos!H9</f>
        <v>1.7269590599942971E-8</v>
      </c>
      <c r="E64" s="2">
        <f>Rayos!H5+Rayos!H9</f>
        <v>1.7269590599942971E-8</v>
      </c>
    </row>
    <row r="65" spans="1:12" ht="24">
      <c r="A65" s="44" t="s">
        <v>481</v>
      </c>
      <c r="B65" s="2">
        <f>Rayos!H6+Rayos!H7+Rayos!H9+Rayos!H11</f>
        <v>1.3427113571137588E-3</v>
      </c>
      <c r="C65" s="2">
        <f>Rayos!H6+Rayos!H7+Rayos!H9+Rayos!H11</f>
        <v>1.3427113571137588E-3</v>
      </c>
      <c r="D65" s="59" t="s">
        <v>475</v>
      </c>
      <c r="E65" s="2">
        <f>Rayos!H6+Rayos!H7+Rayos!H9+Rayos!H11</f>
        <v>1.3427113571137588E-3</v>
      </c>
    </row>
    <row r="66" spans="1:12">
      <c r="B66" s="2"/>
      <c r="C66" s="2"/>
      <c r="D66" s="2"/>
      <c r="E66" s="2"/>
    </row>
    <row r="70" spans="1:12" ht="48">
      <c r="A70" s="15"/>
      <c r="B70" s="44" t="s">
        <v>352</v>
      </c>
      <c r="C70" s="44" t="s">
        <v>353</v>
      </c>
      <c r="D70" s="44" t="s">
        <v>354</v>
      </c>
      <c r="E70" s="44" t="s">
        <v>355</v>
      </c>
    </row>
    <row r="71" spans="1:12" ht="24">
      <c r="B71" s="44" t="s">
        <v>356</v>
      </c>
      <c r="C71" s="44" t="s">
        <v>358</v>
      </c>
      <c r="D71" s="44" t="s">
        <v>359</v>
      </c>
      <c r="E71" s="44" t="s">
        <v>360</v>
      </c>
      <c r="J71" s="456" t="s">
        <v>403</v>
      </c>
      <c r="K71" s="456"/>
    </row>
    <row r="72" spans="1:12" ht="48">
      <c r="A72" s="45" t="s">
        <v>357</v>
      </c>
      <c r="B72" s="45" t="s">
        <v>361</v>
      </c>
      <c r="C72" s="45" t="s">
        <v>362</v>
      </c>
      <c r="D72" s="45" t="s">
        <v>363</v>
      </c>
      <c r="E72" s="45" t="s">
        <v>364</v>
      </c>
      <c r="J72" s="16" t="s">
        <v>404</v>
      </c>
      <c r="K72" s="2" t="s">
        <v>405</v>
      </c>
    </row>
    <row r="73" spans="1:12" ht="58.5" customHeight="1">
      <c r="A73" s="463" t="s">
        <v>365</v>
      </c>
      <c r="B73" s="463"/>
      <c r="C73" s="463"/>
      <c r="D73" s="463"/>
      <c r="E73" s="463"/>
      <c r="J73" s="16" t="s">
        <v>406</v>
      </c>
      <c r="K73" s="2">
        <v>1</v>
      </c>
    </row>
    <row r="74" spans="1:12">
      <c r="J74" s="16" t="s">
        <v>407</v>
      </c>
      <c r="K74" s="2">
        <v>0.01</v>
      </c>
    </row>
    <row r="75" spans="1:12">
      <c r="J75" s="16" t="s">
        <v>408</v>
      </c>
      <c r="K75" s="2">
        <v>0.01</v>
      </c>
    </row>
    <row r="76" spans="1:12">
      <c r="J76" s="16" t="s">
        <v>409</v>
      </c>
      <c r="K76" s="2">
        <v>0.1</v>
      </c>
    </row>
    <row r="77" spans="1:12" ht="45" customHeight="1">
      <c r="J77" s="464" t="s">
        <v>410</v>
      </c>
      <c r="K77" s="464"/>
    </row>
    <row r="80" spans="1:12">
      <c r="J80" s="458" t="s">
        <v>411</v>
      </c>
      <c r="K80" s="458"/>
      <c r="L80" s="458"/>
    </row>
    <row r="81" spans="1:12" ht="36">
      <c r="J81" s="51" t="s">
        <v>412</v>
      </c>
      <c r="K81" s="51" t="s">
        <v>413</v>
      </c>
      <c r="L81" s="51" t="s">
        <v>414</v>
      </c>
    </row>
    <row r="82" spans="1:12" ht="38.25" customHeight="1">
      <c r="A82" s="10"/>
      <c r="B82" s="67" t="s">
        <v>606</v>
      </c>
      <c r="C82" s="67" t="s">
        <v>607</v>
      </c>
      <c r="D82" s="67" t="s">
        <v>608</v>
      </c>
      <c r="J82" s="52" t="s">
        <v>415</v>
      </c>
      <c r="K82" s="52" t="s">
        <v>416</v>
      </c>
      <c r="L82" s="52">
        <v>1</v>
      </c>
    </row>
    <row r="83" spans="1:12">
      <c r="A83" s="10" t="s">
        <v>605</v>
      </c>
      <c r="B83" s="10">
        <v>0.5</v>
      </c>
      <c r="C83" s="10">
        <v>1</v>
      </c>
      <c r="D83" s="10">
        <v>2</v>
      </c>
      <c r="J83" s="45" t="s">
        <v>417</v>
      </c>
      <c r="K83" s="52" t="s">
        <v>418</v>
      </c>
      <c r="L83" s="52">
        <v>0.2</v>
      </c>
    </row>
    <row r="84" spans="1:12">
      <c r="A84" s="10" t="s">
        <v>609</v>
      </c>
      <c r="B84" s="10">
        <v>1</v>
      </c>
      <c r="C84" s="10">
        <v>1</v>
      </c>
      <c r="D84" s="10">
        <v>2.5</v>
      </c>
      <c r="J84" s="45" t="s">
        <v>419</v>
      </c>
      <c r="K84" s="52" t="s">
        <v>420</v>
      </c>
      <c r="L84" s="52">
        <v>0.1</v>
      </c>
    </row>
    <row r="85" spans="1:12">
      <c r="A85" s="10" t="s">
        <v>610</v>
      </c>
      <c r="B85" s="10">
        <v>2</v>
      </c>
      <c r="C85" s="10">
        <v>2.5</v>
      </c>
      <c r="D85" s="10">
        <v>3</v>
      </c>
      <c r="J85" s="45" t="s">
        <v>421</v>
      </c>
      <c r="K85" s="52" t="s">
        <v>422</v>
      </c>
      <c r="L85" s="52">
        <v>0.05</v>
      </c>
    </row>
    <row r="86" spans="1:12">
      <c r="J86" s="45" t="s">
        <v>423</v>
      </c>
      <c r="K86" s="52" t="s">
        <v>424</v>
      </c>
      <c r="L86" s="52">
        <v>0.02</v>
      </c>
    </row>
    <row r="87" spans="1:12" ht="24">
      <c r="J87" s="52" t="s">
        <v>425</v>
      </c>
      <c r="K87" s="10"/>
      <c r="L87" s="52">
        <v>0.01</v>
      </c>
    </row>
    <row r="88" spans="1:12" ht="36">
      <c r="J88" s="52" t="s">
        <v>426</v>
      </c>
      <c r="K88" s="10"/>
      <c r="L88" s="52">
        <v>1E-3</v>
      </c>
    </row>
    <row r="89" spans="1:12" ht="21" customHeight="1">
      <c r="J89" s="465" t="s">
        <v>427</v>
      </c>
      <c r="K89" s="466"/>
      <c r="L89" s="467"/>
    </row>
    <row r="90" spans="1:12" ht="51" customHeight="1">
      <c r="A90" s="16" t="s">
        <v>824</v>
      </c>
      <c r="B90" s="2" t="s">
        <v>825</v>
      </c>
      <c r="C90" s="67" t="s">
        <v>826</v>
      </c>
      <c r="D90" s="2" t="s">
        <v>827</v>
      </c>
      <c r="E90" s="43" t="s">
        <v>828</v>
      </c>
    </row>
    <row r="91" spans="1:12">
      <c r="A91" s="10">
        <v>1</v>
      </c>
      <c r="B91" s="10">
        <v>20</v>
      </c>
      <c r="C91" s="10">
        <v>5</v>
      </c>
      <c r="D91" s="10">
        <v>20</v>
      </c>
      <c r="E91" s="10">
        <v>10</v>
      </c>
    </row>
    <row r="92" spans="1:12">
      <c r="A92" s="10">
        <v>2</v>
      </c>
      <c r="B92" s="10">
        <v>30</v>
      </c>
      <c r="C92" s="10">
        <v>10</v>
      </c>
      <c r="D92" s="10">
        <v>30</v>
      </c>
      <c r="E92" s="10">
        <v>15</v>
      </c>
      <c r="J92" s="458" t="s">
        <v>428</v>
      </c>
      <c r="K92" s="458"/>
    </row>
    <row r="93" spans="1:12">
      <c r="A93" s="10">
        <v>3</v>
      </c>
      <c r="B93" s="10">
        <v>45</v>
      </c>
      <c r="C93" s="10">
        <v>15</v>
      </c>
      <c r="D93" s="10">
        <v>45</v>
      </c>
      <c r="E93" s="10">
        <v>20</v>
      </c>
      <c r="J93" s="44" t="s">
        <v>413</v>
      </c>
      <c r="K93" s="53" t="s">
        <v>429</v>
      </c>
    </row>
    <row r="94" spans="1:12">
      <c r="A94" s="10">
        <v>4</v>
      </c>
      <c r="B94" s="10">
        <v>60</v>
      </c>
      <c r="C94" s="10">
        <v>20</v>
      </c>
      <c r="D94" s="10">
        <v>60</v>
      </c>
      <c r="E94" s="10">
        <v>25</v>
      </c>
      <c r="J94" s="45" t="s">
        <v>430</v>
      </c>
      <c r="K94" s="45">
        <v>1</v>
      </c>
    </row>
    <row r="95" spans="1:12">
      <c r="J95" s="45" t="s">
        <v>431</v>
      </c>
      <c r="K95" s="45">
        <v>0.03</v>
      </c>
    </row>
    <row r="96" spans="1:12">
      <c r="J96" s="45" t="s">
        <v>422</v>
      </c>
      <c r="K96" s="45">
        <v>0.02</v>
      </c>
    </row>
    <row r="97" spans="1:11">
      <c r="J97" s="45" t="s">
        <v>424</v>
      </c>
      <c r="K97" s="45">
        <v>0.01</v>
      </c>
    </row>
    <row r="98" spans="1:11" ht="48">
      <c r="J98" s="45" t="s">
        <v>433</v>
      </c>
      <c r="K98" s="54" t="s">
        <v>432</v>
      </c>
    </row>
    <row r="99" spans="1:11" ht="33" customHeight="1">
      <c r="J99" s="457" t="s">
        <v>434</v>
      </c>
      <c r="K99" s="457"/>
    </row>
    <row r="101" spans="1:11">
      <c r="B101" s="341" t="s">
        <v>809</v>
      </c>
      <c r="C101" s="341"/>
      <c r="D101" s="341"/>
      <c r="E101" s="341"/>
    </row>
    <row r="102" spans="1:11">
      <c r="A102" s="70" t="s">
        <v>810</v>
      </c>
      <c r="B102" s="70">
        <v>20</v>
      </c>
      <c r="C102" s="70">
        <v>30</v>
      </c>
      <c r="D102" s="70">
        <v>45</v>
      </c>
      <c r="E102" s="70">
        <v>60</v>
      </c>
      <c r="J102" s="45" t="s">
        <v>435</v>
      </c>
      <c r="K102" s="15"/>
    </row>
    <row r="103" spans="1:11">
      <c r="A103" s="70">
        <v>1</v>
      </c>
      <c r="B103" s="70" t="s">
        <v>811</v>
      </c>
      <c r="C103" s="70"/>
      <c r="D103" s="70"/>
      <c r="E103" s="70"/>
      <c r="J103" s="44" t="s">
        <v>436</v>
      </c>
      <c r="K103" s="44" t="s">
        <v>437</v>
      </c>
    </row>
    <row r="104" spans="1:11">
      <c r="A104" s="70">
        <v>2</v>
      </c>
      <c r="B104" s="70" t="s">
        <v>812</v>
      </c>
      <c r="C104" s="70"/>
      <c r="D104" s="70"/>
      <c r="E104" s="70"/>
      <c r="J104" s="55" t="s">
        <v>438</v>
      </c>
      <c r="K104" s="45">
        <v>1</v>
      </c>
    </row>
    <row r="105" spans="1:11">
      <c r="A105" s="70">
        <v>3</v>
      </c>
      <c r="B105" s="70" t="s">
        <v>813</v>
      </c>
      <c r="C105" s="70"/>
      <c r="D105" s="70"/>
      <c r="E105" s="70"/>
      <c r="J105" s="45" t="s">
        <v>439</v>
      </c>
      <c r="K105" s="45">
        <v>0.9</v>
      </c>
    </row>
    <row r="106" spans="1:11">
      <c r="A106" s="70">
        <v>4</v>
      </c>
      <c r="B106" s="70" t="s">
        <v>814</v>
      </c>
      <c r="C106" s="70"/>
      <c r="D106" s="70"/>
      <c r="E106" s="70"/>
      <c r="J106" s="45" t="s">
        <v>440</v>
      </c>
      <c r="K106" s="45">
        <v>0.5</v>
      </c>
    </row>
    <row r="107" spans="1:11">
      <c r="A107" s="70"/>
      <c r="B107" s="70"/>
      <c r="C107" s="70"/>
      <c r="D107" s="70"/>
      <c r="E107" s="70"/>
      <c r="J107" s="45" t="s">
        <v>441</v>
      </c>
      <c r="K107" s="45">
        <v>0.1</v>
      </c>
    </row>
    <row r="108" spans="1:11">
      <c r="J108" s="45" t="s">
        <v>442</v>
      </c>
      <c r="K108" s="45">
        <v>0.01</v>
      </c>
    </row>
    <row r="109" spans="1:11">
      <c r="J109" s="45" t="s">
        <v>443</v>
      </c>
      <c r="K109" s="45">
        <v>5.0000000000000001E-3</v>
      </c>
    </row>
    <row r="110" spans="1:11">
      <c r="J110" s="45" t="s">
        <v>444</v>
      </c>
      <c r="K110" s="45">
        <v>3.0000000000000001E-3</v>
      </c>
    </row>
    <row r="111" spans="1:11">
      <c r="J111" s="45" t="s">
        <v>445</v>
      </c>
      <c r="K111" s="45">
        <v>1E-3</v>
      </c>
    </row>
    <row r="112" spans="1:11">
      <c r="J112" s="55" t="s">
        <v>446</v>
      </c>
      <c r="K112" s="45">
        <v>1E-4</v>
      </c>
    </row>
    <row r="113" spans="10:15" ht="29.25" customHeight="1">
      <c r="J113" s="457" t="s">
        <v>447</v>
      </c>
      <c r="K113" s="457"/>
    </row>
    <row r="115" spans="10:15" ht="15" customHeight="1">
      <c r="J115" s="459" t="s">
        <v>448</v>
      </c>
      <c r="K115" s="459"/>
      <c r="L115" s="459"/>
      <c r="M115" s="459"/>
      <c r="N115" s="459"/>
    </row>
    <row r="116" spans="10:15" ht="24">
      <c r="J116" s="44" t="s">
        <v>449</v>
      </c>
      <c r="K116" s="51" t="s">
        <v>450</v>
      </c>
      <c r="L116" s="51" t="s">
        <v>451</v>
      </c>
      <c r="M116" s="51" t="s">
        <v>452</v>
      </c>
      <c r="N116" s="51" t="s">
        <v>453</v>
      </c>
    </row>
    <row r="117" spans="10:15">
      <c r="J117" s="45" t="s">
        <v>454</v>
      </c>
      <c r="K117" s="10">
        <v>1.5</v>
      </c>
      <c r="L117" s="10">
        <v>1</v>
      </c>
      <c r="M117" s="10">
        <v>0.8</v>
      </c>
      <c r="N117" s="10">
        <v>0.4</v>
      </c>
    </row>
    <row r="118" spans="10:15">
      <c r="J118" s="45" t="s">
        <v>455</v>
      </c>
      <c r="K118" s="10">
        <v>2.5</v>
      </c>
      <c r="L118" s="10">
        <v>0.95</v>
      </c>
      <c r="M118" s="10">
        <v>0.6</v>
      </c>
      <c r="N118" s="10">
        <v>0.2</v>
      </c>
    </row>
    <row r="119" spans="10:15">
      <c r="J119" s="45" t="s">
        <v>456</v>
      </c>
      <c r="K119" s="10">
        <v>4</v>
      </c>
      <c r="L119" s="10">
        <v>0.9</v>
      </c>
      <c r="M119" s="10">
        <v>0.3</v>
      </c>
      <c r="N119" s="10">
        <v>0.04</v>
      </c>
    </row>
    <row r="120" spans="10:15">
      <c r="J120" s="45" t="s">
        <v>457</v>
      </c>
      <c r="K120" s="10">
        <v>6</v>
      </c>
      <c r="L120" s="10">
        <v>0.8</v>
      </c>
      <c r="M120" s="10">
        <v>0.1</v>
      </c>
      <c r="N120" s="10">
        <v>0</v>
      </c>
    </row>
    <row r="121" spans="10:15">
      <c r="J121" s="45" t="s">
        <v>458</v>
      </c>
      <c r="K121" s="52">
        <v>1</v>
      </c>
      <c r="L121" s="52">
        <v>1</v>
      </c>
      <c r="M121" s="52">
        <v>1</v>
      </c>
      <c r="N121" s="52">
        <v>1</v>
      </c>
    </row>
    <row r="122" spans="10:15">
      <c r="J122" s="457" t="s">
        <v>459</v>
      </c>
      <c r="K122" s="457"/>
      <c r="L122" s="457"/>
      <c r="M122" s="457"/>
      <c r="N122" s="457"/>
    </row>
    <row r="126" spans="10:15">
      <c r="J126" s="50" t="s">
        <v>466</v>
      </c>
      <c r="K126" s="56"/>
      <c r="L126" s="56"/>
      <c r="M126" s="56"/>
      <c r="N126" s="56"/>
      <c r="O126" s="56"/>
    </row>
    <row r="127" spans="10:15" ht="31.5" customHeight="1">
      <c r="J127" s="460" t="s">
        <v>460</v>
      </c>
      <c r="K127" s="57" t="s">
        <v>461</v>
      </c>
      <c r="L127" s="462" t="s">
        <v>462</v>
      </c>
      <c r="M127" s="462" t="s">
        <v>463</v>
      </c>
      <c r="N127" s="462"/>
      <c r="O127" s="462"/>
    </row>
    <row r="128" spans="10:15" ht="45" customHeight="1">
      <c r="J128" s="461"/>
      <c r="K128" s="57" t="s">
        <v>461</v>
      </c>
      <c r="L128" s="462"/>
      <c r="M128" s="51" t="s">
        <v>464</v>
      </c>
      <c r="N128" s="51" t="s">
        <v>452</v>
      </c>
      <c r="O128" s="51" t="s">
        <v>453</v>
      </c>
    </row>
    <row r="129" spans="10:15">
      <c r="J129" s="45" t="s">
        <v>455</v>
      </c>
      <c r="K129" s="10">
        <v>1</v>
      </c>
      <c r="L129" s="10">
        <v>0.5</v>
      </c>
      <c r="M129" s="10">
        <v>0.15</v>
      </c>
      <c r="N129" s="10">
        <v>0.04</v>
      </c>
      <c r="O129" s="10">
        <v>0.02</v>
      </c>
    </row>
    <row r="130" spans="10:15">
      <c r="J130" s="45" t="s">
        <v>456</v>
      </c>
      <c r="K130" s="10">
        <v>0.4</v>
      </c>
      <c r="L130" s="10">
        <v>0.2</v>
      </c>
      <c r="M130" s="10">
        <v>0.06</v>
      </c>
      <c r="N130" s="10">
        <v>0.02</v>
      </c>
      <c r="O130" s="10">
        <v>8.0000000000000002E-3</v>
      </c>
    </row>
    <row r="131" spans="10:15">
      <c r="J131" s="45" t="s">
        <v>457</v>
      </c>
      <c r="K131" s="10">
        <v>0.2</v>
      </c>
      <c r="L131" s="10">
        <v>0.1</v>
      </c>
      <c r="M131" s="10">
        <v>0.03</v>
      </c>
      <c r="N131" s="10">
        <v>8.0000000000000002E-3</v>
      </c>
      <c r="O131" s="10">
        <v>4.0000000000000001E-3</v>
      </c>
    </row>
    <row r="132" spans="10:15">
      <c r="J132" s="45" t="s">
        <v>458</v>
      </c>
      <c r="K132" s="10">
        <v>1</v>
      </c>
      <c r="L132" s="10">
        <v>0.05</v>
      </c>
      <c r="M132" s="10">
        <v>0.2</v>
      </c>
      <c r="N132" s="10">
        <v>4.0000000000000001E-3</v>
      </c>
      <c r="O132" s="10">
        <v>2E-3</v>
      </c>
    </row>
    <row r="133" spans="10:15">
      <c r="K133" s="457" t="s">
        <v>465</v>
      </c>
      <c r="L133" s="457"/>
      <c r="M133" s="457"/>
      <c r="N133" s="457"/>
      <c r="O133" s="457"/>
    </row>
    <row r="137" spans="10:15">
      <c r="J137" s="15" t="s">
        <v>599</v>
      </c>
      <c r="K137" s="10">
        <v>3</v>
      </c>
    </row>
    <row r="138" spans="10:15">
      <c r="J138" s="15" t="s">
        <v>600</v>
      </c>
      <c r="K138" s="10">
        <v>1</v>
      </c>
    </row>
    <row r="139" spans="10:15">
      <c r="K139" s="70"/>
    </row>
    <row r="140" spans="10:15">
      <c r="K140" s="70"/>
    </row>
    <row r="141" spans="10:15">
      <c r="K141" s="70"/>
    </row>
    <row r="142" spans="10:15">
      <c r="J142" s="15" t="s">
        <v>601</v>
      </c>
      <c r="K142" s="10">
        <v>0.5</v>
      </c>
    </row>
    <row r="143" spans="10:15">
      <c r="J143" s="15" t="s">
        <v>602</v>
      </c>
      <c r="K143" s="10">
        <v>3</v>
      </c>
    </row>
    <row r="144" spans="10:15">
      <c r="J144" s="15" t="s">
        <v>603</v>
      </c>
      <c r="K144" s="10">
        <v>1</v>
      </c>
    </row>
    <row r="145" spans="10:11">
      <c r="K145" s="70"/>
    </row>
    <row r="146" spans="10:11">
      <c r="K146" s="70"/>
    </row>
    <row r="147" spans="10:11">
      <c r="K147" s="70"/>
    </row>
    <row r="148" spans="10:11">
      <c r="J148" s="15" t="s">
        <v>604</v>
      </c>
      <c r="K148" s="10">
        <v>5</v>
      </c>
    </row>
    <row r="149" spans="10:11">
      <c r="J149" s="15" t="s">
        <v>603</v>
      </c>
      <c r="K149" s="10">
        <v>1</v>
      </c>
    </row>
  </sheetData>
  <mergeCells count="15">
    <mergeCell ref="B101:E101"/>
    <mergeCell ref="A73:E73"/>
    <mergeCell ref="J71:K71"/>
    <mergeCell ref="J77:K77"/>
    <mergeCell ref="J89:L89"/>
    <mergeCell ref="J80:L80"/>
    <mergeCell ref="K133:O133"/>
    <mergeCell ref="J99:K99"/>
    <mergeCell ref="J92:K92"/>
    <mergeCell ref="J113:K113"/>
    <mergeCell ref="J115:N115"/>
    <mergeCell ref="J122:N122"/>
    <mergeCell ref="J127:J128"/>
    <mergeCell ref="L127:L128"/>
    <mergeCell ref="M127:O127"/>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Hojas de cálculo</vt:lpstr>
      </vt:variant>
      <vt:variant>
        <vt:i4>19</vt:i4>
      </vt:variant>
      <vt:variant>
        <vt:lpstr>Gráficos</vt:lpstr>
      </vt:variant>
      <vt:variant>
        <vt:i4>2</vt:i4>
      </vt:variant>
      <vt:variant>
        <vt:lpstr>Rangos con nombre</vt:lpstr>
      </vt:variant>
      <vt:variant>
        <vt:i4>1</vt:i4>
      </vt:variant>
    </vt:vector>
  </HeadingPairs>
  <TitlesOfParts>
    <vt:vector size="22" baseType="lpstr">
      <vt:lpstr>Hoja1</vt:lpstr>
      <vt:lpstr>Cuadro De Cargas</vt:lpstr>
      <vt:lpstr>Calibre-Ductos</vt:lpstr>
      <vt:lpstr>Cargas Nominales y Totales</vt:lpstr>
      <vt:lpstr>Distancia Min. de fuga</vt:lpstr>
      <vt:lpstr>Fusible T</vt:lpstr>
      <vt:lpstr>Fusible K</vt:lpstr>
      <vt:lpstr>Fusible H</vt:lpstr>
      <vt:lpstr>FUSIBLES</vt:lpstr>
      <vt:lpstr>Fusibles Car.</vt:lpstr>
      <vt:lpstr>Diversificada</vt:lpstr>
      <vt:lpstr>Rayos</vt:lpstr>
      <vt:lpstr>Factores de Riesgo</vt:lpstr>
      <vt:lpstr>Riesgos</vt:lpstr>
      <vt:lpstr>Mallas Cuadradas o Rectangulare</vt:lpstr>
      <vt:lpstr>Proteccion de cables</vt:lpstr>
      <vt:lpstr>Calculo economico</vt:lpstr>
      <vt:lpstr>Hoja6</vt:lpstr>
      <vt:lpstr>Rayos Calculo</vt:lpstr>
      <vt:lpstr>Fusible Dual</vt:lpstr>
      <vt:lpstr>Fusible VS</vt:lpstr>
      <vt:lpstr>lrr</vt:lpstr>
    </vt:vector>
  </TitlesOfParts>
  <Company>Luffi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Luffi</dc:creator>
  <cp:lastModifiedBy>Miguel Angel Monroy Pelicier</cp:lastModifiedBy>
  <dcterms:created xsi:type="dcterms:W3CDTF">2019-07-15T01:57:42Z</dcterms:created>
  <dcterms:modified xsi:type="dcterms:W3CDTF">2024-07-21T00:25:51Z</dcterms:modified>
</cp:coreProperties>
</file>